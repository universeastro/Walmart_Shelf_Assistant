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Walmart Shelf Assistant\tests\fixtures\"/>
    </mc:Choice>
  </mc:AlternateContent>
  <xr:revisionPtr revIDLastSave="0" documentId="13_ncr:1_{291BC979-4154-4B22-AB10-37BEE8ECFE1E}" xr6:coauthVersionLast="47" xr6:coauthVersionMax="47" xr10:uidLastSave="{00000000-0000-0000-0000-000000000000}"/>
  <bookViews>
    <workbookView xWindow="-120" yWindow="-120" windowWidth="29040" windowHeight="15840" activeTab="3" xr2:uid="{C39654C6-1E9A-2243-AA6E-6EBDF8956468}"/>
  </bookViews>
  <sheets>
    <sheet name="Instructions and Examples" sheetId="1" r:id="rId1"/>
    <sheet name="Data Definitions" sheetId="4" r:id="rId2"/>
    <sheet name="Hidden_product_content_and_sit" sheetId="2" state="hidden" r:id="rId3"/>
    <sheet name="Product Content And Site Exp" sheetId="3" r:id="rId4"/>
  </sheets>
  <definedNames>
    <definedName name="DynamicPTs">{"Autographed Collectibles","Coins","Collectible Ephemera","Comics","Trading Cards","Trading Card Games"}</definedName>
    <definedName name="DynamicRow">ROW()</definedName>
    <definedName name="PTs_LIST">Hidden_product_content_and_sit!$A$50:$A$50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A1" i="4" l="1"/>
  <c r="CC3" i="3"/>
  <c r="CC1" i="3" a="1"/>
  <c r="CC1" i="3" s="1"/>
  <c r="CB3" i="3"/>
  <c r="CA3" i="3"/>
</calcChain>
</file>

<file path=xl/sharedStrings.xml><?xml version="1.0" encoding="utf-8"?>
<sst xmlns="http://schemas.openxmlformats.org/spreadsheetml/2006/main" count="3013" uniqueCount="1710">
  <si>
    <t>Instructions:Please Read This Section Before Filling Out the Template</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</si>
  <si>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</si>
  <si>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</si>
  <si>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</si>
  <si>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</si>
  <si>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</si>
  <si>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</si>
  <si>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</si>
  <si>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</si>
  <si>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</si>
  <si>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</si>
  <si>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</si>
  <si>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</si>
  <si>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</si>
  <si>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</si>
  <si>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</si>
  <si>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</si>
  <si>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</si>
  <si>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</si>
  <si>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</si>
  <si>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SKU</t>
  </si>
  <si>
    <t>Spec Product Type</t>
  </si>
  <si>
    <t>Product Identifiers (productIdentifiers)</t>
  </si>
  <si>
    <t>Inventory (inventory) (+)</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</si>
  <si>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</si>
  <si>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</si>
  <si>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</si>
  <si>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</si>
  <si>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</si>
  <si>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</si>
  <si>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</si>
  <si>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</si>
  <si>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</si>
  <si>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</si>
  <si>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</si>
  <si>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</si>
  <si>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</si>
  <si>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</si>
  <si>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Fulfillment Center ID</t>
  </si>
  <si>
    <t>Inventory Quantity</t>
  </si>
  <si>
    <t>Pre Order Available On</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</si>
  <si>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</si>
  <si>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</si>
  <si>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</si>
  <si>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</si>
  <si>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</si>
  <si>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</si>
  <si>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</si>
  <si>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</si>
  <si>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</si>
  <si>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</si>
  <si>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</si>
  <si>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</si>
  <si>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Age Group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</si>
  <si>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</si>
  <si>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</si>
  <si>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</si>
  <si>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</si>
  <si>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</si>
  <si>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</si>
  <si>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</si>
  <si>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</si>
  <si>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</si>
  <si>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</si>
  <si>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</si>
  <si>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</si>
  <si>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Retail Packaging</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</si>
  <si>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</si>
  <si>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</si>
  <si>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</si>
  <si>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</si>
  <si>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</si>
  <si>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</si>
  <si>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</si>
  <si>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</si>
  <si>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</si>
  <si>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</si>
  <si>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</si>
  <si>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</si>
  <si>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</si>
  <si>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</si>
  <si>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</si>
  <si>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</si>
  <si>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</si>
  <si>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</si>
  <si>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</si>
  <si>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</si>
  <si>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</si>
  <si>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</si>
  <si>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</si>
  <si>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</si>
  <si>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</si>
  <si>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</si>
  <si>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</si>
  <si>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</si>
  <si>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</si>
  <si>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</si>
  <si>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</si>
  <si>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</si>
  <si>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</si>
  <si>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</si>
  <si>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</si>
  <si>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</si>
  <si>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</si>
  <si>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</si>
  <si>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</si>
  <si>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</si>
  <si>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</si>
  <si>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</si>
  <si>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</si>
  <si>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</si>
  <si>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</si>
  <si>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</si>
  <si>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</si>
  <si>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</si>
  <si>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</si>
  <si>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</si>
  <si>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</si>
  <si>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</si>
  <si>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</si>
  <si>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</si>
  <si>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</si>
  <si>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</si>
  <si>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</si>
  <si>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</si>
  <si>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</si>
  <si>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</si>
  <si>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</si>
  <si>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</si>
  <si>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Descriptive terms for the way a product is packaged for sale to the customer.</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</si>
  <si>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</si>
  <si>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</si>
  <si>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</si>
  <si>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</si>
  <si>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</si>
  <si>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</si>
  <si>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</si>
  <si>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</si>
  <si>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</si>
  <si>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</si>
  <si>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</si>
  <si>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</si>
  <si>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</si>
  <si>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</si>
  <si>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</si>
  <si>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</si>
  <si>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</si>
  <si>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</si>
  <si>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</si>
  <si>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</si>
  <si>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</si>
  <si>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</si>
  <si>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</si>
  <si>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</si>
  <si>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</si>
  <si>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</si>
  <si>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</si>
  <si>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</si>
  <si>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</si>
  <si>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GTIN</t>
  </si>
  <si>
    <t>1</t>
  </si>
  <si>
    <t>No</t>
  </si>
  <si>
    <t>Red</t>
  </si>
  <si>
    <t>New</t>
  </si>
  <si>
    <t>Cotton</t>
  </si>
  <si>
    <t>yyyy-mm-dd</t>
  </si>
  <si>
    <t>yyyy-mm-dd  hh : mm : ss</t>
  </si>
  <si>
    <t>B002Z36VJE</t>
  </si>
  <si>
    <t>19.95</t>
  </si>
  <si>
    <t> </t>
  </si>
  <si>
    <t xml:space="preserve">Variant 1
</t>
  </si>
  <si>
    <t>ABXJ123</t>
  </si>
  <si>
    <t>Variant 2</t>
  </si>
  <si>
    <r>
      <rPr>
        <sz val="11"/>
        <color rgb="FF000000"/>
        <rFont val="等线"/>
        <family val="2"/>
        <scheme val="minor"/>
      </rPr>
      <t>You can add new columns for cells marked with a plus sign. Select the entire column of an existing column with your cursor, then right-click and choose </t>
    </r>
    <r>
      <rPr>
        <i/>
        <sz val="12"/>
        <color rgb="FF2E2F32"/>
        <rFont val="BogleWeb"/>
      </rPr>
      <t>Copy</t>
    </r>
    <r>
      <rPr>
        <sz val="12"/>
        <color rgb="FF2E2F32"/>
        <rFont val="BogleWeb"/>
      </rPr>
      <t>. Select the columns to the right of the one you copied, then right-click and choose</t>
    </r>
    <r>
      <rPr>
        <i/>
        <sz val="12"/>
        <color rgb="FF2E2F32"/>
        <rFont val="BogleWeb"/>
      </rPr>
      <t> Insert copied cells</t>
    </r>
    <r>
      <rPr>
        <sz val="12"/>
        <color rgb="FF2E2F32"/>
        <rFont val="BogleWeb"/>
      </rPr>
      <t xml:space="preserve">.  
</t>
    </r>
  </si>
  <si>
    <t>Step 1: Select the entire existiing column with plus sign, then right click and chose Copy</t>
  </si>
  <si>
    <r>
      <rPr>
        <sz val="12"/>
        <color rgb="FF2E2F32"/>
        <rFont val="等线"/>
        <family val="2"/>
        <scheme val="minor"/>
      </rPr>
      <t>Step 2: Select the columns to the right of the one you copied, then right-click and choose</t>
    </r>
    <r>
      <rPr>
        <i/>
        <sz val="12"/>
        <color rgb="FF2E2F32"/>
        <rFont val="等线"/>
        <family val="2"/>
        <scheme val="minor"/>
      </rPr>
      <t> Insert copied cells</t>
    </r>
    <r>
      <rPr>
        <sz val="12"/>
        <color rgb="FF2E2F32"/>
        <rFont val="等线"/>
        <family val="2"/>
        <scheme val="minor"/>
      </rPr>
      <t>.  </t>
    </r>
  </si>
  <si>
    <t>Step 3: Once the column has been copied over, update the Key Feature attributes with the additional attributes you wish to include.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</si>
  <si>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</si>
  <si>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</si>
  <si>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</si>
  <si>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</si>
  <si>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Fabric Content (fabricContent) (+)</t>
  </si>
  <si>
    <t>Recycled Material Content (recycledMaterialContent) (+)</t>
  </si>
  <si>
    <t>Automate Pricing (automate_pricing)</t>
  </si>
  <si>
    <t>Country of Origin - Substantial Transformation</t>
  </si>
  <si>
    <t>Clothing Neck Style</t>
  </si>
  <si>
    <t>Clothing Size</t>
  </si>
  <si>
    <t>Clothing Size Group (+)</t>
  </si>
  <si>
    <t>Clothing Style (+)</t>
  </si>
  <si>
    <t>Clothing Top Style (+)</t>
  </si>
  <si>
    <t>Fabric Care Instructions (+)</t>
  </si>
  <si>
    <t>Fabric Material Percentage</t>
  </si>
  <si>
    <t>Fabric Material Name</t>
  </si>
  <si>
    <t>Sleeve Length Style</t>
  </si>
  <si>
    <t>Small Parts Warning Code (+)</t>
  </si>
  <si>
    <t>Zippered</t>
  </si>
  <si>
    <t>Academic Institution</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</si>
  <si>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</si>
  <si>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</si>
  <si>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</si>
  <si>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</si>
  <si>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</si>
  <si>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</si>
  <si>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</si>
  <si>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</si>
  <si>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</si>
  <si>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</si>
  <si>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</si>
  <si>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</si>
  <si>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</si>
  <si>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</si>
  <si>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Maximum Order Quantity</t>
  </si>
  <si>
    <t>Minimum Order Quantity</t>
  </si>
  <si>
    <t>Paper Finish Configuration (+)</t>
  </si>
  <si>
    <t>Pattern (+)</t>
  </si>
  <si>
    <t>Personal Relationship (+)</t>
  </si>
  <si>
    <t>Photo Accessory Item SKU (+)</t>
  </si>
  <si>
    <t>Photo Configuration Attribute Names (+)</t>
  </si>
  <si>
    <t>Photo Item Store WUPC</t>
  </si>
  <si>
    <t>Photo Order Quantity Tier</t>
  </si>
  <si>
    <t>Recycled Material</t>
  </si>
  <si>
    <t>Percentage of Recycled Material</t>
  </si>
  <si>
    <t>Sleeve Style</t>
  </si>
  <si>
    <t>T-Shirt Type</t>
  </si>
  <si>
    <t>Theme</t>
  </si>
  <si>
    <t>Maximum Seller Allowed Price</t>
  </si>
  <si>
    <t>Minimum Seller Allowed Price</t>
  </si>
  <si>
    <t>Repricer Strategy</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</si>
  <si>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</si>
  <si>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</si>
  <si>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Closed List - The country where the item and/or its components are manufactured, produced, or grown.</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</si>
  <si>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</si>
  <si>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</si>
  <si>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</si>
  <si>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</si>
  <si>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</si>
  <si>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</si>
  <si>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</si>
  <si>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</si>
  <si>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</si>
  <si>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</si>
  <si>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</si>
  <si>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</si>
  <si>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</si>
  <si>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</si>
  <si>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</si>
  <si>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</si>
  <si>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</si>
  <si>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</si>
  <si>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</si>
  <si>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</si>
  <si>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</si>
  <si>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</si>
  <si>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</si>
  <si>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</si>
  <si>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</si>
  <si>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</si>
  <si>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</si>
  <si>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</si>
  <si>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</si>
  <si>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</si>
  <si>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</si>
  <si>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</si>
  <si>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</si>
  <si>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</si>
  <si>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</si>
  <si>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</si>
  <si>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</si>
  <si>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</si>
  <si>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</si>
  <si>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</si>
  <si>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</si>
  <si>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</si>
  <si>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</si>
  <si>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</si>
  <si>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style of garment sleeves. Does not include descriptive terms for sleeve length (which appear under the Sleeve Length Style attribute).</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</si>
  <si>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</si>
  <si>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</si>
  <si>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</si>
  <si>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</si>
  <si>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</si>
  <si>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</si>
  <si>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</si>
  <si>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Men’s Classic Fit Crew Neck T-Shirt</t>
  </si>
  <si>
    <t>Everyday Wear</t>
  </si>
  <si>
    <t>United States</t>
  </si>
  <si>
    <t>835418506313474049</t>
  </si>
  <si>
    <t>20</t>
  </si>
  <si>
    <r>
      <t>Experience all-day comfort with our Men’s Classic Fit Crew Neck T-Shirt</t>
    </r>
    <r>
      <rPr>
        <sz val="14"/>
        <color rgb="FF000000"/>
        <rFont val="Aptos Narrow (Body)"/>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</si>
  <si>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</si>
  <si>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</si>
  <si>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</si>
  <si>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</si>
  <si>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0</t>
  </si>
  <si>
    <t>Adult</t>
  </si>
  <si>
    <t>Crew Neck</t>
  </si>
  <si>
    <t>M</t>
  </si>
  <si>
    <t>Men</t>
  </si>
  <si>
    <t>Casual</t>
  </si>
  <si>
    <t>Pullover</t>
  </si>
  <si>
    <t>Blue</t>
  </si>
  <si>
    <t>Black</t>
  </si>
  <si>
    <t>Machine wash cold with like colors. Only non-chlorine bleach when needed. Tumble dry low. Cool iron if needed. Do not dry clean.</t>
  </si>
  <si>
    <t>Male</t>
  </si>
  <si>
    <t>Inch</t>
  </si>
  <si>
    <t>Short Sleeve</t>
  </si>
  <si>
    <t>0 - No warning applicable</t>
  </si>
  <si>
    <t>https://secondaryimageexample.com/images/mens-classic-crew-tshirt-back.jpg</t>
  </si>
  <si>
    <t>Elastic</t>
  </si>
  <si>
    <t>Active Fit</t>
  </si>
  <si>
    <t>Drop Shoulder</t>
  </si>
  <si>
    <t>Knit</t>
  </si>
  <si>
    <t>This example outlines how to setup a new listing without variants</t>
  </si>
  <si>
    <t>Step 3: In the new column that is copied over, you can enter the additional Key Features.</t>
  </si>
  <si>
    <t>JHT3234</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</si>
  <si>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</si>
  <si>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https://swatchimageexample1.com/images/mens-classic-crew-tshirt.jpg</t>
  </si>
  <si>
    <t>https://swatchimageexample2.com/images/mens-classic-crew-tshirt.jpg</t>
  </si>
  <si>
    <r>
      <t xml:space="preserve">This example outlines how to set up a new listing with 2 variants. Please refer to the </t>
    </r>
    <r>
      <rPr>
        <i/>
        <sz val="11"/>
        <color rgb="FF000000"/>
        <rFont val="等线"/>
        <family val="2"/>
        <scheme val="minor"/>
      </rPr>
      <t xml:space="preserve">Recommended to create a variant experience on Walmart website </t>
    </r>
    <r>
      <rPr>
        <sz val="11"/>
        <color rgb="FF000000"/>
        <rFont val="等线"/>
        <family val="2"/>
        <scheme val="minor"/>
      </rPr>
      <t xml:space="preserve">section on the right to learn about variant attributes. </t>
    </r>
    <r>
      <rPr>
        <b/>
        <sz val="11"/>
        <color rgb="FF000000"/>
        <rFont val="等线"/>
        <family val="2"/>
        <scheme val="minor"/>
      </rPr>
      <t>Please note</t>
    </r>
    <r>
      <rPr>
        <sz val="11"/>
        <color rgb="FF000000"/>
        <rFont val="等线"/>
        <family val="2"/>
        <scheme val="minor"/>
      </rPr>
      <t xml:space="preserve"> that some template sections in this particular example have been omitted to keep the focus on setting up variants. Those sections will need to be filled out in the actual template.	</t>
    </r>
    <r>
      <rPr>
        <i/>
        <sz val="11"/>
        <color rgb="FF000000"/>
        <rFont val="等线"/>
        <family val="2"/>
        <scheme val="minor"/>
      </rPr>
      <t xml:space="preserve"> </t>
    </r>
    <r>
      <rPr>
        <sz val="11"/>
        <color rgb="FF000000"/>
        <rFont val="等线"/>
        <family val="2"/>
        <scheme val="minor"/>
      </rPr>
      <t xml:space="preserve">			
General Guidelines:
1. </t>
    </r>
    <r>
      <rPr>
        <b/>
        <sz val="11"/>
        <color rgb="FF000000"/>
        <rFont val="等线"/>
        <family val="2"/>
        <scheme val="minor"/>
      </rPr>
      <t>Variant Group ID:</t>
    </r>
    <r>
      <rPr>
        <sz val="11"/>
        <color rgb="FF000000"/>
        <rFont val="等线"/>
        <family val="2"/>
        <scheme val="minor"/>
      </rPr>
      <t xml:space="preserve"> Make sure you have the same Variant Group ID for adding variants under a group
2.</t>
    </r>
    <r>
      <rPr>
        <b/>
        <sz val="11"/>
        <color rgb="FF000000"/>
        <rFont val="等线"/>
        <family val="2"/>
        <scheme val="minor"/>
      </rPr>
      <t xml:space="preserve"> Variant Attribute Names:</t>
    </r>
    <r>
      <rPr>
        <sz val="11"/>
        <color rgb="FF000000"/>
        <rFont val="等线"/>
        <family val="2"/>
        <scheme val="minor"/>
      </rPr>
      <t xml:space="preserve"> For adding additional Variant Attribute Names, Copy the entire column of Variant Attributes Names and insert the copied column to the right of the one you copied. 
3. </t>
    </r>
    <r>
      <rPr>
        <b/>
        <sz val="11"/>
        <color rgb="FF000000"/>
        <rFont val="等线"/>
        <family val="2"/>
        <scheme val="minor"/>
      </rPr>
      <t>Variant Attribute Values:</t>
    </r>
    <r>
      <rPr>
        <sz val="11"/>
        <color rgb="FF000000"/>
        <rFont val="等线"/>
        <family val="2"/>
        <scheme val="minor"/>
      </rPr>
      <t xml:space="preserve"> Once you have entered the Variant Attribute Names, please make sure to find those attributes in the sheet and fill up the conditionally required values.
4.</t>
    </r>
    <r>
      <rPr>
        <b/>
        <sz val="11"/>
        <color rgb="FF000000"/>
        <rFont val="等线"/>
        <family val="2"/>
        <scheme val="minor"/>
      </rPr>
      <t xml:space="preserve"> Primary Variant: </t>
    </r>
    <r>
      <rPr>
        <sz val="11"/>
        <color rgb="FF000000"/>
        <rFont val="等线"/>
        <family val="2"/>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family val="2"/>
        <scheme val="minor"/>
      </rPr>
      <t xml:space="preserve">Swatch (Optional): </t>
    </r>
    <r>
      <rPr>
        <sz val="11"/>
        <color rgb="FF000000"/>
        <rFont val="等线"/>
        <family val="2"/>
        <scheme val="minor"/>
      </rPr>
      <t>If you fill out swatch information, you have to provide both the Swatch attribute and the Swatch url.</t>
    </r>
  </si>
  <si>
    <t>Example 1: Basic Item Setup</t>
  </si>
  <si>
    <t>Example 2: Item Setup with Variants</t>
  </si>
  <si>
    <t>Example 4: Selecting from a  Closed List Attribute</t>
  </si>
  <si>
    <t>Restored Item</t>
  </si>
  <si>
    <t>Pre-Owned Item</t>
  </si>
  <si>
    <t>Condition Type Options</t>
  </si>
  <si>
    <t>Example 3: Adding a Column  for Multiple Values</t>
  </si>
  <si>
    <t xml:space="preserve"> -Like New
 -Good
 -Fair
 -Open Box
Refer here for category specific Conditon Types: https://marketplacelearn.walmart.com/guides/Item%20setup/Resold/Item-condition-types</t>
  </si>
  <si>
    <t xml:space="preserve"> -Premium
 -Like New
 -Good, Fair
Refer here for category specific Conditon Types: https://marketplacelearn.walmart.com/guides/Item%20setup/Resold/Item-condition-types</t>
  </si>
  <si>
    <r>
      <rPr>
        <b/>
        <sz val="11"/>
        <color rgb="FF000000"/>
        <rFont val="等线"/>
        <family val="2"/>
        <scheme val="minor"/>
      </rPr>
      <t xml:space="preserve">Please note that this is an Invite only program
</t>
    </r>
    <r>
      <rPr>
        <sz val="11"/>
        <color rgb="FF000000"/>
        <rFont val="等线"/>
        <family val="2"/>
        <scheme val="minor"/>
      </rPr>
      <t xml:space="preserve">
For setting up items under Resold Programs, Include all product IDs, SKUs and required attributes.
Refer here for more details: https://marketplacelearn.walmart.com/guides/resold-program-overview
</t>
    </r>
    <r>
      <rPr>
        <b/>
        <sz val="11"/>
        <color rgb="FF000000"/>
        <rFont val="等线"/>
        <family val="2"/>
        <scheme val="minor"/>
      </rPr>
      <t>Condition Type Attribute:</t>
    </r>
    <r>
      <rPr>
        <sz val="11"/>
        <color rgb="FF000000"/>
        <rFont val="等线"/>
        <family val="2"/>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</si>
  <si>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Yes</t>
  </si>
  <si>
    <t>clothing_shoulder_style</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</si>
  <si>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</si>
  <si>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</si>
  <si>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</si>
  <si>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</si>
  <si>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</si>
  <si>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</si>
  <si>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</si>
  <si>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</si>
  <si>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</si>
  <si>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</si>
  <si>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</si>
  <si>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</si>
  <si>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</si>
  <si>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</si>
  <si>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</si>
  <si>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</si>
  <si>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</si>
  <si>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</si>
  <si>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</si>
  <si>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</si>
  <si>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</si>
  <si>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</si>
  <si>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Bath Appliques</t>
  </si>
  <si>
    <t>country_of_origin_substantial_transformation</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</si>
  <si>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</si>
  <si>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</si>
  <si>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</si>
  <si>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</si>
  <si>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</si>
  <si>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</si>
  <si>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</si>
  <si>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</si>
  <si>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</si>
  <si>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</si>
  <si>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</si>
  <si>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</si>
  <si>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</si>
  <si>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</si>
  <si>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</si>
  <si>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</si>
  <si>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</si>
  <si>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</si>
  <si>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</si>
  <si>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</si>
  <si>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</si>
  <si>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</si>
  <si>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</si>
  <si>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</si>
  <si>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</si>
  <si>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</si>
  <si>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</si>
  <si>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</si>
  <si>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</si>
  <si>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</si>
  <si>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</si>
  <si>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</si>
  <si>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</si>
  <si>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</si>
  <si>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</si>
  <si>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</si>
  <si>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</si>
  <si>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</si>
  <si>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</si>
  <si>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</si>
  <si>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</si>
  <si>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</si>
  <si>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</si>
  <si>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</si>
  <si>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</si>
  <si>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</si>
  <si>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</si>
  <si>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</si>
  <si>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</si>
  <si>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</si>
  <si>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</si>
  <si>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</si>
  <si>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</si>
  <si>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</si>
  <si>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</si>
  <si>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</si>
  <si>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</si>
  <si>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</si>
  <si>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</si>
  <si>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</si>
  <si>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</si>
  <si>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</si>
  <si>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</si>
  <si>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</si>
  <si>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</si>
  <si>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</si>
  <si>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</si>
  <si>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</si>
  <si>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</si>
  <si>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</si>
  <si>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</si>
  <si>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</si>
  <si>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</si>
  <si>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</si>
  <si>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</si>
  <si>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</si>
  <si>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</si>
  <si>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</si>
  <si>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</si>
  <si>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</si>
  <si>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</si>
  <si>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</si>
  <si>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</si>
  <si>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</si>
  <si>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</si>
  <si>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</si>
  <si>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</si>
  <si>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</si>
  <si>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</si>
  <si>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</si>
  <si>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</si>
  <si>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</si>
  <si>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</si>
  <si>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</si>
  <si>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</si>
  <si>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</si>
  <si>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</si>
  <si>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</si>
  <si>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</si>
  <si>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</si>
  <si>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</si>
  <si>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</si>
  <si>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</si>
  <si>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</si>
  <si>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</si>
  <si>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</si>
  <si>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</si>
  <si>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</si>
  <si>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</si>
  <si>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</si>
  <si>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</si>
  <si>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</si>
  <si>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</si>
  <si>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</si>
  <si>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</si>
  <si>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</si>
  <si>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</si>
  <si>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</si>
  <si>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</si>
  <si>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</si>
  <si>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</si>
  <si>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</si>
  <si>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</si>
  <si>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</si>
  <si>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</si>
  <si>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</si>
  <si>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</si>
  <si>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</si>
  <si>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</si>
  <si>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</si>
  <si>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</si>
  <si>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</si>
  <si>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</si>
  <si>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</si>
  <si>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</si>
  <si>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</si>
  <si>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</si>
  <si>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</si>
  <si>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</si>
  <si>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</si>
  <si>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</si>
  <si>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</si>
  <si>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</si>
  <si>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</si>
  <si>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</si>
  <si>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</si>
  <si>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</si>
  <si>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</si>
  <si>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</si>
  <si>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</si>
  <si>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</si>
  <si>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</si>
  <si>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</si>
  <si>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</si>
  <si>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</si>
  <si>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</si>
  <si>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</si>
  <si>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</si>
  <si>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</si>
  <si>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</si>
  <si>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</si>
  <si>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</si>
  <si>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</si>
  <si>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</si>
  <si>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</si>
  <si>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</si>
  <si>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</si>
  <si>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</si>
  <si>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</si>
  <si>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</si>
  <si>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</si>
  <si>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</si>
  <si>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</si>
  <si>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</si>
  <si>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</si>
  <si>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</si>
  <si>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</si>
  <si>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</si>
  <si>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</si>
  <si>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</si>
  <si>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</si>
  <si>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</si>
  <si>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</si>
  <si>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</si>
  <si>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</si>
  <si>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</si>
  <si>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</si>
  <si>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</si>
  <si>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</si>
  <si>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</si>
  <si>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</si>
  <si>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</si>
  <si>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</si>
  <si>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</si>
  <si>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</si>
  <si>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</si>
  <si>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</si>
  <si>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</si>
  <si>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</si>
  <si>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</si>
  <si>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</si>
  <si>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</si>
  <si>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</si>
  <si>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</si>
  <si>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</si>
  <si>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</si>
  <si>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</si>
  <si>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</si>
  <si>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</si>
  <si>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</si>
  <si>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</si>
  <si>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</si>
  <si>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</si>
  <si>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</si>
  <si>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</si>
  <si>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</si>
  <si>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</si>
  <si>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</si>
  <si>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</si>
  <si>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</si>
  <si>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</si>
  <si>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</si>
  <si>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</si>
  <si>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</si>
  <si>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</si>
  <si>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</si>
  <si>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</si>
  <si>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</si>
  <si>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</si>
  <si>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</si>
  <si>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</si>
  <si>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</si>
  <si>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</si>
  <si>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</si>
  <si>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</si>
  <si>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</si>
  <si>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</si>
  <si>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</si>
  <si>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</si>
  <si>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</si>
  <si>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</si>
  <si>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</si>
  <si>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</si>
  <si>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</si>
  <si>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</si>
  <si>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</si>
  <si>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</si>
  <si>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</si>
  <si>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</si>
  <si>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</si>
  <si>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</si>
  <si>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</si>
  <si>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</si>
  <si>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Recommended</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</si>
  <si>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</si>
  <si>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</si>
  <si>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</si>
  <si>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</si>
  <si>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</si>
  <si>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</si>
  <si>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</si>
  <si>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</si>
  <si>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</si>
  <si>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</si>
  <si>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</si>
  <si>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</si>
  <si>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</si>
  <si>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</si>
  <si>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</si>
  <si>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product_package_dimensions_and_weight_product_package_dimensions_width</t>
  </si>
  <si>
    <t>Product Package Dimensions Width (in)</t>
  </si>
  <si>
    <t>product_package_dimensions_width</t>
  </si>
  <si>
    <t>Decimal</t>
  </si>
  <si>
    <t>product_package_dimensions_and_weight</t>
  </si>
  <si>
    <t>endDate</t>
  </si>
  <si>
    <t>Date</t>
  </si>
  <si>
    <t>External Product Identifier</t>
  </si>
  <si>
    <t>Object</t>
  </si>
  <si>
    <t>Y</t>
  </si>
  <si>
    <t>ASIN</t>
  </si>
  <si>
    <t>IsPreorder</t>
  </si>
  <si>
    <t>Boolean</t>
  </si>
  <si>
    <t>inventory</t>
  </si>
  <si>
    <t>MustShipAlone</t>
  </si>
  <si>
    <t>stateRestrictions</t>
  </si>
  <si>
    <t>State Restrictions</t>
  </si>
  <si>
    <t>Merchant</t>
  </si>
  <si>
    <t>SkuUpdate</t>
  </si>
  <si>
    <t>automate_pricing</t>
  </si>
  <si>
    <t>Automate Pricing</t>
  </si>
  <si>
    <t>productIdentifiers_productIdType</t>
  </si>
  <si>
    <t>productIdType</t>
  </si>
  <si>
    <t>productIdentifiers</t>
  </si>
  <si>
    <t>EAN</t>
  </si>
  <si>
    <t>ISBN</t>
  </si>
  <si>
    <t>UPC</t>
  </si>
  <si>
    <t>productIdentifiers_productId</t>
  </si>
  <si>
    <t>productId</t>
  </si>
  <si>
    <t>Product Identifiers</t>
  </si>
  <si>
    <t>electronicsIndicator</t>
  </si>
  <si>
    <t>shipsInOriginalPackaging</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</si>
  <si>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</si>
  <si>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</si>
  <si>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</si>
  <si>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</si>
  <si>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</si>
  <si>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</si>
  <si>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</si>
  <si>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</si>
  <si>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</si>
  <si>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</si>
  <si>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 Package Dimensions Depth (in)</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</si>
  <si>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</si>
  <si>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</si>
  <si>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</si>
  <si>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</si>
  <si>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</si>
  <si>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</si>
  <si>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</si>
  <si>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</si>
  <si>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</si>
  <si>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</si>
  <si>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</si>
  <si>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</si>
  <si>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</si>
  <si>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</si>
  <si>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</si>
  <si>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</si>
  <si>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</si>
  <si>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</si>
  <si>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</si>
  <si>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</si>
  <si>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</si>
  <si>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</si>
  <si>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</si>
  <si>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</si>
  <si>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</si>
  <si>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</si>
  <si>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</si>
  <si>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</si>
  <si>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</si>
  <si>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</si>
  <si>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</si>
  <si>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</si>
  <si>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</si>
  <si>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</si>
  <si>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</si>
  <si>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</si>
  <si>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</si>
  <si>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</si>
  <si>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</si>
  <si>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</si>
  <si>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</si>
  <si>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</si>
  <si>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</si>
  <si>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</si>
  <si>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</si>
  <si>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</si>
  <si>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</si>
  <si>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</si>
  <si>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</si>
  <si>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</si>
  <si>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</si>
  <si>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</si>
  <si>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</si>
  <si>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</si>
  <si>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</si>
  <si>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</si>
  <si>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</si>
  <si>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</si>
  <si>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</si>
  <si>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</si>
  <si>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</si>
  <si>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</si>
  <si>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</si>
  <si>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</si>
  <si>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</si>
  <si>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</si>
  <si>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inventory_quantity</t>
  </si>
  <si>
    <t>quantity</t>
  </si>
  <si>
    <t>Conditionally Required</t>
  </si>
  <si>
    <t>Integer</t>
  </si>
  <si>
    <t>fulfillmentLagTime</t>
  </si>
  <si>
    <t>releaseDate</t>
  </si>
  <si>
    <t>inventory_inventoryAvailabilityDate</t>
  </si>
  <si>
    <t>inventoryAvailabilityDate</t>
  </si>
  <si>
    <t>DateOnly</t>
  </si>
  <si>
    <t>specProductType</t>
  </si>
  <si>
    <t>externalProductIdentifier_externalProductIdType</t>
  </si>
  <si>
    <t>externalProductIdType</t>
  </si>
  <si>
    <t>MLID</t>
  </si>
  <si>
    <t>ProductIdUpdate</t>
  </si>
  <si>
    <t>inventory_fulfillmentCenterID</t>
  </si>
  <si>
    <t>fulfillmentCenterID</t>
  </si>
  <si>
    <t>10003242131</t>
  </si>
  <si>
    <t>product_package_dimensions_and_weight_product_package_dimensions_height</t>
  </si>
  <si>
    <t>Product Package Dimensions Height (in)</t>
  </si>
  <si>
    <t>product_package_dimensions_height</t>
  </si>
  <si>
    <t>automate_pricing_minimumSellerAllowedPrice</t>
  </si>
  <si>
    <t>minimumSellerAllowedPrice</t>
  </si>
  <si>
    <t>product_package_dimensions_and_weight_product_package_weight</t>
  </si>
  <si>
    <t>Product Package Weight (lbs)</t>
  </si>
  <si>
    <t>product_package_weight</t>
  </si>
  <si>
    <t>ShippingWeight</t>
  </si>
  <si>
    <t>startDate</t>
  </si>
  <si>
    <t>DateTime</t>
  </si>
  <si>
    <t>automate_pricing_maximumSellerAllowedPrice</t>
  </si>
  <si>
    <t>maximumSellerAllowedPrice</t>
  </si>
  <si>
    <t>automate_pricing_repricerStrategy</t>
  </si>
  <si>
    <t>repricerStrategy</t>
  </si>
  <si>
    <t>Bath_Appliques_sportsLeague</t>
  </si>
  <si>
    <t>Sports League</t>
  </si>
  <si>
    <t>sportsLeague</t>
  </si>
  <si>
    <t>Visible</t>
  </si>
  <si>
    <t>Visible/Bath Appliques</t>
  </si>
  <si>
    <t>Bath_Appliques_assembledProductWeight_unit</t>
  </si>
  <si>
    <t>unit</t>
  </si>
  <si>
    <t>assembledProductWeight</t>
  </si>
  <si>
    <t>lb</t>
  </si>
  <si>
    <t>oz</t>
  </si>
  <si>
    <t>Bath_Appliques_productName</t>
  </si>
  <si>
    <t>productName</t>
  </si>
  <si>
    <t>Bath_Appliques_productLine</t>
  </si>
  <si>
    <t>Product Line</t>
  </si>
  <si>
    <t>productLine</t>
  </si>
  <si>
    <t>Bath_Appliques_features</t>
  </si>
  <si>
    <t>Additional Features</t>
  </si>
  <si>
    <t>features</t>
  </si>
  <si>
    <t>Non-Slip</t>
  </si>
  <si>
    <t>Bath_Appliques_pieceCount</t>
  </si>
  <si>
    <t>pieceCount</t>
  </si>
  <si>
    <t>Bath_Appliques_character</t>
  </si>
  <si>
    <t>Character</t>
  </si>
  <si>
    <t>character</t>
  </si>
  <si>
    <t>Partner</t>
  </si>
  <si>
    <t>Bath_Appliques_multipackQuantity</t>
  </si>
  <si>
    <t>multipackQuantity</t>
  </si>
  <si>
    <t>Bath_Appliques_isProp65WarningRequired</t>
  </si>
  <si>
    <t>isProp65WarningRequired</t>
  </si>
  <si>
    <t>Bath_Appliques_netContent_productNetContentMeasure</t>
  </si>
  <si>
    <t>productNetContentMeasure</t>
  </si>
  <si>
    <t>netContent</t>
  </si>
  <si>
    <t>Bath_Appliques_variantAttributeNames</t>
  </si>
  <si>
    <t>Variant Attribute Names</t>
  </si>
  <si>
    <t>variantAttributeNames</t>
  </si>
  <si>
    <t>assembledProductWidth</t>
  </si>
  <si>
    <t>color</t>
  </si>
  <si>
    <t>count</t>
  </si>
  <si>
    <t>countPerPack</t>
  </si>
  <si>
    <t>pattern</t>
  </si>
  <si>
    <t>shape</t>
  </si>
  <si>
    <t>size</t>
  </si>
  <si>
    <t>theme</t>
  </si>
  <si>
    <t>Bath_Appliques_netContent</t>
  </si>
  <si>
    <t>Net Content</t>
  </si>
  <si>
    <t>Bath_Appliques_swatchImages</t>
  </si>
  <si>
    <t>Swatch Images</t>
  </si>
  <si>
    <t>swatchImages</t>
  </si>
  <si>
    <t>Bath_Appliques_assembledProductWeight_measure</t>
  </si>
  <si>
    <t>measure</t>
  </si>
  <si>
    <t>Bath_Appliques_brand</t>
  </si>
  <si>
    <t>brand</t>
  </si>
  <si>
    <t>Bath_Appliques_mainImageUrl</t>
  </si>
  <si>
    <t>mainImageUrl</t>
  </si>
  <si>
    <t>URL</t>
  </si>
  <si>
    <t>Bath_Appliques_assembledProductHeight_unit</t>
  </si>
  <si>
    <t>assembledProductHeight</t>
  </si>
  <si>
    <t>ft</t>
  </si>
  <si>
    <t>in</t>
  </si>
  <si>
    <t>Bath_Appliques_children_product_certificate_document_reference_id</t>
  </si>
  <si>
    <t>children_product_certificate_document_reference_id</t>
  </si>
  <si>
    <t>Merchant,Partner</t>
  </si>
  <si>
    <t>Bath_Appliques_warrantyText</t>
  </si>
  <si>
    <t>warrantyText</t>
  </si>
  <si>
    <t>Bath_Appliques_shape</t>
  </si>
  <si>
    <t>Shape</t>
  </si>
  <si>
    <t>Bath_Appliques_assembledProductHeight</t>
  </si>
  <si>
    <t>Assembled Product Height</t>
  </si>
  <si>
    <t>Bath_Appliques_general_certificate_of_conformity_document_reference_id</t>
  </si>
  <si>
    <t>General Certificate of Conformity Document Reference ID</t>
  </si>
  <si>
    <t>general_certificate_of_conformity_document_reference_id</t>
  </si>
  <si>
    <t>Bath_Appliques_count</t>
  </si>
  <si>
    <t>Bath_Appliques_shortDescription</t>
  </si>
  <si>
    <t>shortDescription</t>
  </si>
  <si>
    <t>Bath_Appliques_thirdPartyAccreditationSymbolOnProductPackageCode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</si>
  <si>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</si>
  <si>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</si>
  <si>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</si>
  <si>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</si>
  <si>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</si>
  <si>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</si>
  <si>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</si>
  <si>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</si>
  <si>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</si>
  <si>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</si>
  <si>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</si>
  <si>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</si>
  <si>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</si>
  <si>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</si>
  <si>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</si>
  <si>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</si>
  <si>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</si>
  <si>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</si>
  <si>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</si>
  <si>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</si>
  <si>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</si>
  <si>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</si>
  <si>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</si>
  <si>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</si>
  <si>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</si>
  <si>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</si>
  <si>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</si>
  <si>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</si>
  <si>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</si>
  <si>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</si>
  <si>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</si>
  <si>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</si>
  <si>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</si>
  <si>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</si>
  <si>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</si>
  <si>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</si>
  <si>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</si>
  <si>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</si>
  <si>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</si>
  <si>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</si>
  <si>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</si>
  <si>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</si>
  <si>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</si>
  <si>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</si>
  <si>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</si>
  <si>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</si>
  <si>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</si>
  <si>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</si>
  <si>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</si>
  <si>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</si>
  <si>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</si>
  <si>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</si>
  <si>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</si>
  <si>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</si>
  <si>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</si>
  <si>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</si>
  <si>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</si>
  <si>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</si>
  <si>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</si>
  <si>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</si>
  <si>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</si>
  <si>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</si>
  <si>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</si>
  <si>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</si>
  <si>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</si>
  <si>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</si>
  <si>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</si>
  <si>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</si>
  <si>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</si>
  <si>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</si>
  <si>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</si>
  <si>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</si>
  <si>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</si>
  <si>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</si>
  <si>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</si>
  <si>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</si>
  <si>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</si>
  <si>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</si>
  <si>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</si>
  <si>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</si>
  <si>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</si>
  <si>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</si>
  <si>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</si>
  <si>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</si>
  <si>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</si>
  <si>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</si>
  <si>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</si>
  <si>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</si>
  <si>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</si>
  <si>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</si>
  <si>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</si>
  <si>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</si>
  <si>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</si>
  <si>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</si>
  <si>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</si>
  <si>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</si>
  <si>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</si>
  <si>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</si>
  <si>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</si>
  <si>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</si>
  <si>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</si>
  <si>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</si>
  <si>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</si>
  <si>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</si>
  <si>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</si>
  <si>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</si>
  <si>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</si>
  <si>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</si>
  <si>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</si>
  <si>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</si>
  <si>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</si>
  <si>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</si>
  <si>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</si>
  <si>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</si>
  <si>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</si>
  <si>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</si>
  <si>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</si>
  <si>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</si>
  <si>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</si>
  <si>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</si>
  <si>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</si>
  <si>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</si>
  <si>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</si>
  <si>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</si>
  <si>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</si>
  <si>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</si>
  <si>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</si>
  <si>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</si>
  <si>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</si>
  <si>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</si>
  <si>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</si>
  <si>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</si>
  <si>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</si>
  <si>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</si>
  <si>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</si>
  <si>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</si>
  <si>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</si>
  <si>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</si>
  <si>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</si>
  <si>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</si>
  <si>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</si>
  <si>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</si>
  <si>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</si>
  <si>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</si>
  <si>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</si>
  <si>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</si>
  <si>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</si>
  <si>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</si>
  <si>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</si>
  <si>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</si>
  <si>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</si>
  <si>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</si>
  <si>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</si>
  <si>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</si>
  <si>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</si>
  <si>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</si>
  <si>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</si>
  <si>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</si>
  <si>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</si>
  <si>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</si>
  <si>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</si>
  <si>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</si>
  <si>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</si>
  <si>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</si>
  <si>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</si>
  <si>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</si>
  <si>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</si>
  <si>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</si>
  <si>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</si>
  <si>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</si>
  <si>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</si>
  <si>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</si>
  <si>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</si>
  <si>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</si>
  <si>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</si>
  <si>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</si>
  <si>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</si>
  <si>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</si>
  <si>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</si>
  <si>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</si>
  <si>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</si>
  <si>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</si>
  <si>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</si>
  <si>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</si>
  <si>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</si>
  <si>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</si>
  <si>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</si>
  <si>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</si>
  <si>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</si>
  <si>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</si>
  <si>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</si>
  <si>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</si>
  <si>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</si>
  <si>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</si>
  <si>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</si>
  <si>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</si>
  <si>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</si>
  <si>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</si>
  <si>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</si>
  <si>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</si>
  <si>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</si>
  <si>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</si>
  <si>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</si>
  <si>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</si>
  <si>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</si>
  <si>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</si>
  <si>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</si>
  <si>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</si>
  <si>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</si>
  <si>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</si>
  <si>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</si>
  <si>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</si>
  <si>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</si>
  <si>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</si>
  <si>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</si>
  <si>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</si>
  <si>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</si>
  <si>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</si>
  <si>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</si>
  <si>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</si>
  <si>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</si>
  <si>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</si>
  <si>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</si>
  <si>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</si>
  <si>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</si>
  <si>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</si>
  <si>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</si>
  <si>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</si>
  <si>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</si>
  <si>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</si>
  <si>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</si>
  <si>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</si>
  <si>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</si>
  <si>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</si>
  <si>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</si>
  <si>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</si>
  <si>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</si>
  <si>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</si>
  <si>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</si>
  <si>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</si>
  <si>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</si>
  <si>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</si>
  <si>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</si>
  <si>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</si>
  <si>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</si>
  <si>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</si>
  <si>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</si>
  <si>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</si>
  <si>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</si>
  <si>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</si>
  <si>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</si>
  <si>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</si>
  <si>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</si>
  <si>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</si>
  <si>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</si>
  <si>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</si>
  <si>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</si>
  <si>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</si>
  <si>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</si>
  <si>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</si>
  <si>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</si>
  <si>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</si>
  <si>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</si>
  <si>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</si>
  <si>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</si>
  <si>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</si>
  <si>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</si>
  <si>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</si>
  <si>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</si>
  <si>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</si>
  <si>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</si>
  <si>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</si>
  <si>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</si>
  <si>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</si>
  <si>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</si>
  <si>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</si>
  <si>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</si>
  <si>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</si>
  <si>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</si>
  <si>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</si>
  <si>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</si>
  <si>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</si>
  <si>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</si>
  <si>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</si>
  <si>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</si>
  <si>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</si>
  <si>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</si>
  <si>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</si>
  <si>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</si>
  <si>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</si>
  <si>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</si>
  <si>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</si>
  <si>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</si>
  <si>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</si>
  <si>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</si>
  <si>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</si>
  <si>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</si>
  <si>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</si>
  <si>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</si>
  <si>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</si>
  <si>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</si>
  <si>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</si>
  <si>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</si>
  <si>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</si>
  <si>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</si>
  <si>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</si>
  <si>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</si>
  <si>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</si>
  <si>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</si>
  <si>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</si>
  <si>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</si>
  <si>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</si>
  <si>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</si>
  <si>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</si>
  <si>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</si>
  <si>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</si>
  <si>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</si>
  <si>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</si>
  <si>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</si>
  <si>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</si>
  <si>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</si>
  <si>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</si>
  <si>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</si>
  <si>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</si>
  <si>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</si>
  <si>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</si>
  <si>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</si>
  <si>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</si>
  <si>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</si>
  <si>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</si>
  <si>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</si>
  <si>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</si>
  <si>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</si>
  <si>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</si>
  <si>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</si>
  <si>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</si>
  <si>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</si>
  <si>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</si>
  <si>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</si>
  <si>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</si>
  <si>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</si>
  <si>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</si>
  <si>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</si>
  <si>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</si>
  <si>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</si>
  <si>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</si>
  <si>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</si>
  <si>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</si>
  <si>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</si>
  <si>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</si>
  <si>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</si>
  <si>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</si>
  <si>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</si>
  <si>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</si>
  <si>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</si>
  <si>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</si>
  <si>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</si>
  <si>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</si>
  <si>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</si>
  <si>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</si>
  <si>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</si>
  <si>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</si>
  <si>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</si>
  <si>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</si>
  <si>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</si>
  <si>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</si>
  <si>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</si>
  <si>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</si>
  <si>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</si>
  <si>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</si>
  <si>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</si>
  <si>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</si>
  <si>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</si>
  <si>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</si>
  <si>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</si>
  <si>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</si>
  <si>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</si>
  <si>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</si>
  <si>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</si>
  <si>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</si>
  <si>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</si>
  <si>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</si>
  <si>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</si>
  <si>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</si>
  <si>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</si>
  <si>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</si>
  <si>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</si>
  <si>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</si>
  <si>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</si>
  <si>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</si>
  <si>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</si>
  <si>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</si>
  <si>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</si>
  <si>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</si>
  <si>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</si>
  <si>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</si>
  <si>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</si>
  <si>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</si>
  <si>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</si>
  <si>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</si>
  <si>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</si>
  <si>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</si>
  <si>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</si>
  <si>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</si>
  <si>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</si>
  <si>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</si>
  <si>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</si>
  <si>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</si>
  <si>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</si>
  <si>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</si>
  <si>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</si>
  <si>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</si>
  <si>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</si>
  <si>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</si>
  <si>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</si>
  <si>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</si>
  <si>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</si>
  <si>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</si>
  <si>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</si>
  <si>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</si>
  <si>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</si>
  <si>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</si>
  <si>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</si>
  <si>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</si>
  <si>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</si>
  <si>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</si>
  <si>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</si>
  <si>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</si>
  <si>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</si>
  <si>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</si>
  <si>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</si>
  <si>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</si>
  <si>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</si>
  <si>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</si>
  <si>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</si>
  <si>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</si>
  <si>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</si>
  <si>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</si>
  <si>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</si>
  <si>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</si>
  <si>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</si>
  <si>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</si>
  <si>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</si>
  <si>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</si>
  <si>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</si>
  <si>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</si>
  <si>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</si>
  <si>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</si>
  <si>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</si>
  <si>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</si>
  <si>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</si>
  <si>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</si>
  <si>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</si>
  <si>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</si>
  <si>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</si>
  <si>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</si>
  <si>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</si>
  <si>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</si>
  <si>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</si>
  <si>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</si>
  <si>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</si>
  <si>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</si>
  <si>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</si>
  <si>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</si>
  <si>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</si>
  <si>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</si>
  <si>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</si>
  <si>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</si>
  <si>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</si>
  <si>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</si>
  <si>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</si>
  <si>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</si>
  <si>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</si>
  <si>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</si>
  <si>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</si>
  <si>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</si>
  <si>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</si>
  <si>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</si>
  <si>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</si>
  <si>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</si>
  <si>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</si>
  <si>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</si>
  <si>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</si>
  <si>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</si>
  <si>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</si>
  <si>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</si>
  <si>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</si>
  <si>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</si>
  <si>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</si>
  <si>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</si>
  <si>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</si>
  <si>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</si>
  <si>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</si>
  <si>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</si>
  <si>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</si>
  <si>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</si>
  <si>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</si>
  <si>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</si>
  <si>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</si>
  <si>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</si>
  <si>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</si>
  <si>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</si>
  <si>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</si>
  <si>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</si>
  <si>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</si>
  <si>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</si>
  <si>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</si>
  <si>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</si>
  <si>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</si>
  <si>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</si>
  <si>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</si>
  <si>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</si>
  <si>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</si>
  <si>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</si>
  <si>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</si>
  <si>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</si>
  <si>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</si>
  <si>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</si>
  <si>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</si>
  <si>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</si>
  <si>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</si>
  <si>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</si>
  <si>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</si>
  <si>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</si>
  <si>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</si>
  <si>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</si>
  <si>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</si>
  <si>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</si>
  <si>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</si>
  <si>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</si>
  <si>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</si>
  <si>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</si>
  <si>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</si>
  <si>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</si>
  <si>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</si>
  <si>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</si>
  <si>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</si>
  <si>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</si>
  <si>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</si>
  <si>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</si>
  <si>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</si>
  <si>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</si>
  <si>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</si>
  <si>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</si>
  <si>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</si>
  <si>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</si>
  <si>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</si>
  <si>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</si>
  <si>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</si>
  <si>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</si>
  <si>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</si>
  <si>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</si>
  <si>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</si>
  <si>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</si>
  <si>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</si>
  <si>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</si>
  <si>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</si>
  <si>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</si>
  <si>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</si>
  <si>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</si>
  <si>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</si>
  <si>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</si>
  <si>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</si>
  <si>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</si>
  <si>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</si>
  <si>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</si>
  <si>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</si>
  <si>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</si>
  <si>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</si>
  <si>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</si>
  <si>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</si>
  <si>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</si>
  <si>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</si>
  <si>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</si>
  <si>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</si>
  <si>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</si>
  <si>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</si>
  <si>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</si>
  <si>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</si>
  <si>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</si>
  <si>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</si>
  <si>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</si>
  <si>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</si>
  <si>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</si>
  <si>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</si>
  <si>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</si>
  <si>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</si>
  <si>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</si>
  <si>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</si>
  <si>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</si>
  <si>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</si>
  <si>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</si>
  <si>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</si>
  <si>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</si>
  <si>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</si>
  <si>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</si>
  <si>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</si>
  <si>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</si>
  <si>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</si>
  <si>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</si>
  <si>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</si>
  <si>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</si>
  <si>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</si>
  <si>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</si>
  <si>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</si>
  <si>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</si>
  <si>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</si>
  <si>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Bath_Appliques_manufacturerPartNumber</t>
  </si>
  <si>
    <t>manufacturerPartNumber</t>
  </si>
  <si>
    <t>Bath_Appliques_condition</t>
  </si>
  <si>
    <t>condition</t>
  </si>
  <si>
    <t>New without tags</t>
  </si>
  <si>
    <t>Open Box</t>
  </si>
  <si>
    <t>Pre-Owned: Good</t>
  </si>
  <si>
    <t>Pre-Owned: Like New</t>
  </si>
  <si>
    <t>Bath_Appliques_assembledProductLength</t>
  </si>
  <si>
    <t>Assembled Product Depth</t>
  </si>
  <si>
    <t>assembledProductLength</t>
  </si>
  <si>
    <t>Bath_Appliques_size</t>
  </si>
  <si>
    <t>Size</t>
  </si>
  <si>
    <t>Bath_Appliques_isPrimaryVariant</t>
  </si>
  <si>
    <t>isPrimaryVariant</t>
  </si>
  <si>
    <t>Bath_Appliques_netContentStatement</t>
  </si>
  <si>
    <t>netContentStatement</t>
  </si>
  <si>
    <t>Bath_Appliques_warrantyURL</t>
  </si>
  <si>
    <t>warrantyURL</t>
  </si>
  <si>
    <t>Bath_Appliques_prop65WarningText</t>
  </si>
  <si>
    <t>prop65WarningText</t>
  </si>
  <si>
    <t>Bath_Appliques_occasion</t>
  </si>
  <si>
    <t>Occasion</t>
  </si>
  <si>
    <t>occasion</t>
  </si>
  <si>
    <t>Bath_Appliques_color</t>
  </si>
  <si>
    <t>Bath_Appliques_swatchImages_swatchImageUrl</t>
  </si>
  <si>
    <t>swatchImageUrl</t>
  </si>
  <si>
    <t>Bath_Appliques_pattern</t>
  </si>
  <si>
    <t>Pattern</t>
  </si>
  <si>
    <t>Bath_Appliques_character_group</t>
  </si>
  <si>
    <t>Character Group</t>
  </si>
  <si>
    <t>character_group</t>
  </si>
  <si>
    <t>Bath_Appliques_assembledProductHeight_measure</t>
  </si>
  <si>
    <t>Bath_Appliques_keyFeatures</t>
  </si>
  <si>
    <t>Key Features</t>
  </si>
  <si>
    <t>keyFeatures</t>
  </si>
  <si>
    <t>Bath_Appliques_manufacturer</t>
  </si>
  <si>
    <t>manufacturer</t>
  </si>
  <si>
    <t>Bath_Appliques_countPerPack</t>
  </si>
  <si>
    <t>Bath_Appliques_theme</t>
  </si>
  <si>
    <t>Bath_Appliques_colorCategory</t>
  </si>
  <si>
    <t>Color Category</t>
  </si>
  <si>
    <t>colorCategory</t>
  </si>
  <si>
    <t>Beige</t>
  </si>
  <si>
    <t>Bronze</t>
  </si>
  <si>
    <t>Brown</t>
  </si>
  <si>
    <t>Clear</t>
  </si>
  <si>
    <t>Gold</t>
  </si>
  <si>
    <t>Gray</t>
  </si>
  <si>
    <t>Green</t>
  </si>
  <si>
    <t>Multicolor</t>
  </si>
  <si>
    <t>Off-White</t>
  </si>
  <si>
    <t>Orange</t>
  </si>
  <si>
    <t>Pink</t>
  </si>
  <si>
    <t>Purple</t>
  </si>
  <si>
    <t>White</t>
  </si>
  <si>
    <t>Yellow</t>
  </si>
  <si>
    <t>Bath_Appliques_assembledProductWidth_measure</t>
  </si>
  <si>
    <t>Bath_Appliques_swatchImages_swatchVariantAttribute</t>
  </si>
  <si>
    <t>swatchVariantAttribute</t>
  </si>
  <si>
    <t>Bath_Appliques_productSecondaryImageURL</t>
  </si>
  <si>
    <t>Additional Image URL</t>
  </si>
  <si>
    <t>productSecondaryImageURL</t>
  </si>
  <si>
    <t>Bath_Appliques_has_written_warranty</t>
  </si>
  <si>
    <t>has_written_warranty</t>
  </si>
  <si>
    <t>Yes - Warranty Text</t>
  </si>
  <si>
    <t>Yes - Warranty URL</t>
  </si>
  <si>
    <t>Bath_Appliques_netContent_productNetContentUnit</t>
  </si>
  <si>
    <t>productNetContentUnit</t>
  </si>
  <si>
    <t>Case</t>
  </si>
  <si>
    <t>Centiliter</t>
  </si>
  <si>
    <t>Centimeter</t>
  </si>
  <si>
    <t>Count</t>
  </si>
  <si>
    <t>Cubic Foot</t>
  </si>
  <si>
    <t>Each</t>
  </si>
  <si>
    <t>Fluid Ounces</t>
  </si>
  <si>
    <t>Foot</t>
  </si>
  <si>
    <t>Gallon</t>
  </si>
  <si>
    <t>Gram</t>
  </si>
  <si>
    <t>Kilogram</t>
  </si>
  <si>
    <t>Liter</t>
  </si>
  <si>
    <t>Meter</t>
  </si>
  <si>
    <t>Milliliter</t>
  </si>
  <si>
    <t>Ounce</t>
  </si>
  <si>
    <t>Pallet/Unit Load</t>
  </si>
  <si>
    <t>Pint</t>
  </si>
  <si>
    <t>Pound</t>
  </si>
  <si>
    <t>Quart</t>
  </si>
  <si>
    <t>Quart Dry</t>
  </si>
  <si>
    <t>Square Foot</t>
  </si>
  <si>
    <t>Yard</t>
  </si>
  <si>
    <t>Bath_Appliques_certification_type</t>
  </si>
  <si>
    <t>Certification Type</t>
  </si>
  <si>
    <t>certification_type</t>
  </si>
  <si>
    <t>Children's Product Certificate</t>
  </si>
  <si>
    <t>General Certificate of Conformity</t>
  </si>
  <si>
    <t>Neither of these applies</t>
  </si>
  <si>
    <t>Skip for now</t>
  </si>
  <si>
    <t>Bath_Appliques_assembledProductWeight</t>
  </si>
  <si>
    <t>Assembled Product Weight</t>
  </si>
  <si>
    <t>Bath_Appliques_assembledProductWidth</t>
  </si>
  <si>
    <t>Assembled Product Width</t>
  </si>
  <si>
    <t>Bath_Appliques_assembledProductWidth_unit</t>
  </si>
  <si>
    <t>Bath_Appliques_variantGroupId</t>
  </si>
  <si>
    <t>variantGroupId</t>
  </si>
  <si>
    <t>Bath_Appliques_children_product_test_report_document_reference_id</t>
  </si>
  <si>
    <t>children_product_test_report_document_reference_id</t>
  </si>
  <si>
    <t>Bath_Appliques_assembledProductLength_measure</t>
  </si>
  <si>
    <t>Bath_Appliques_sportsTeam</t>
  </si>
  <si>
    <t>Sports Team</t>
  </si>
  <si>
    <t>sportsTeam</t>
  </si>
  <si>
    <t>Bath_Appliques_modelNumber</t>
  </si>
  <si>
    <t>modelNumber</t>
  </si>
  <si>
    <t>Bath_Appliques_assembledProductLength_unit</t>
  </si>
  <si>
    <t>Table Info</t>
  </si>
  <si>
    <t>Orderable MP Setup</t>
  </si>
  <si>
    <t>Table_1_1</t>
  </si>
  <si>
    <t>Table_1_2</t>
  </si>
  <si>
    <t>Version=5.0.20260703-18_22_27,MP_ITEM,product_content_and_site_exp,en,external,Product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</si>
  <si>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</si>
  <si>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</si>
  <si>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20-Piece Paw Print Non-Slip Bathtub Appliques, by Namato</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</si>
  <si>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</si>
  <si>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</si>
  <si>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Closed List - The state of an item, indicating its level of wear, prior use (if any), appearance and overall quality. Some conditions may not be available depending on item, category or seller eligibility. </t>
  </si>
  <si>
    <t>Condition Details</t>
  </si>
  <si>
    <t>Alphanumeric, 100000 characters - Overview of the key selling points of the item, marketing content, and highlights in paragraph form. For SEO purposes, repeat the product name and relevant keywords here. Example: 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</si>
  <si>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Alphanumeric, 10000 characters - Key features will appear as bulleted text on the item page and in search results. Key features help the user understand the benefits of the product with a simple and clean format.  Example: •100% Cotton
•Factory certified
•50% more absorbent than regular bath linens
•Bleach friendly colors
•Durable edges that will not unravel
•Low linting
•Each bath towel measures 30x54
•Also available in a coordinating stripe bath towel</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</si>
  <si>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</si>
  <si>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</si>
  <si>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</si>
  <si>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</si>
  <si>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</si>
  <si>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Additional Features (+)</t>
  </si>
  <si>
    <t>Closed List - The distinguishing characteristics of a product that describe its appearance, components, and capabilities. Features often highlight the usefulness/advantages of the product to consumers. Input each feature as unique value.</t>
  </si>
  <si>
    <t>Additional Image URL 1 (+)</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</si>
  <si>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</si>
  <si>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</si>
  <si>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50 characters - A person or entity portrayed in print or visual media. A character might be a fictional personality or an actual living person. Example: Ariel;Bambi;Grinch;Mickey Mouse</t>
  </si>
  <si>
    <t>Alphanumeric, 50 characters - Character group name or fictional team name as they appear in a media product. Example: S.H.I.E.L.D. Agents;Avengers;X-Men;Justice League</t>
  </si>
  <si>
    <t>Alphanumeric, 36 characters - A generated identifier created after the submission of a General Certificate of Conformity (GCC). This ID serves as the official document reference for the GCC within compliance and product safety systems.</t>
  </si>
  <si>
    <t>Occasion (+)</t>
  </si>
  <si>
    <t>Alphanumeric, 2000 characters - The particular target time, event, or holiday for the product. Example: Back-To-School;Birthday;Christmas;Graduation;Mother's Day</t>
  </si>
  <si>
    <t>Alphanumeric, 400 characters - Decorative design or visual ornamentation, often with a thematic, recurring motif. Example: Striped;Quilted;Houndstooth;Tiger Stripe;Cheetah Print;Meander;Swirls;Tribal</t>
  </si>
  <si>
    <t>Alphanumeric, 400 characters - Product lines exist as a sub-structure of brands and, frequently, as a super-structure of models. Example: Soft Touch;Luxury Power;Prestige</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</si>
  <si>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</si>
  <si>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</si>
  <si>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</si>
  <si>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</si>
  <si>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800 characters - A dominant idea, meaning, or setting applied to an item.  Example: Woodland Animals;Summer Beach;Sea Shells;Paris Nights;Zebras</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</si>
  <si>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</si>
  <si>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</si>
  <si>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</si>
  <si>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</si>
  <si>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Specifies the type of external marketplace product identifier associated with the item, such as Amazon Standard Identification Number (ASIN) or Mercado Libre ID (MLID).</t>
  </si>
  <si>
    <t>Alphanumeric, 20 characters - The Amazon Standard Identification Number (ASIN) or Mercado Libre ID (MLID) associated with the item, based on the selected External Product ID Type. Example: B002Z36VJE</t>
  </si>
  <si>
    <t>Product Package Dimensions and Weight (product_package_dimensions_and_weight)</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</si>
  <si>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</si>
  <si>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</si>
  <si>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</si>
  <si>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</si>
  <si>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Definitions</t>
  </si>
  <si>
    <t>Example Values</t>
  </si>
  <si>
    <t>Min Characters</t>
  </si>
  <si>
    <t>Max Characters</t>
  </si>
  <si>
    <t>Min Number of Values</t>
  </si>
  <si>
    <t>Recommended Number of Values</t>
  </si>
  <si>
    <t>The distinguishing characteristics of a product that describe its appearance, components, and capabilities. Features often highlight the usefulness/advantages of the product to consumers. Input each feature as unique value.</t>
  </si>
  <si>
    <t>n/a</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</si>
  <si>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</si>
  <si>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</si>
  <si>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</si>
  <si>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</si>
  <si>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</si>
  <si>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</si>
  <si>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</si>
  <si>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</si>
  <si>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</si>
  <si>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</si>
  <si>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</si>
  <si>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</si>
  <si>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</si>
  <si>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</si>
  <si>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</si>
  <si>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</si>
  <si>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</si>
  <si>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</si>
  <si>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</si>
  <si>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</si>
  <si>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Ariel;Bambi;Grinch;Mickey Mouse</t>
  </si>
  <si>
    <t>Character group name or fictional team name as they appear in a media product.</t>
  </si>
  <si>
    <t>S.H.I.E.L.D. Agents;Avengers;X-Men;Justice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</si>
  <si>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</si>
  <si>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</si>
  <si>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</si>
  <si>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generated identifier created after the submission of a General Certificate of Conformity (GCC). This ID serves as the official document reference for the GCC within compliance and product safety systems.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</si>
  <si>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</si>
  <si>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</si>
  <si>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</si>
  <si>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</si>
  <si>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</si>
  <si>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</si>
  <si>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</si>
  <si>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</si>
  <si>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</si>
  <si>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</si>
  <si>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</si>
  <si>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Back-To-School;Birthday;Christmas;Graduation;Mother's Day</t>
  </si>
  <si>
    <t>Decorative design or visual ornamentation, often with a thematic, recurring motif.</t>
  </si>
  <si>
    <t>Striped;Quilted;Houndstooth;Tiger Stripe;Cheetah Print;Meander;Swirls;Tribal</t>
  </si>
  <si>
    <t>Product lines exist as a sub-structure of brands and, frequently, as a super-structure of models.</t>
  </si>
  <si>
    <t>Soft Touch;Luxury Power;Prestige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</si>
  <si>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</si>
  <si>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</si>
  <si>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</si>
  <si>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</si>
  <si>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</si>
  <si>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</si>
  <si>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</si>
  <si>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</si>
  <si>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dominant idea, meaning, or setting applied to an item.</t>
  </si>
  <si>
    <t>Woodland Animals;Summer Beach;Sea Shells;Paris Nights;Zebras</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</si>
  <si>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</si>
  <si>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</si>
  <si>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</si>
  <si>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</si>
  <si>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</si>
  <si>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</si>
  <si>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</si>
  <si>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state of an item, indicating its level of wear, prior use (if any), appearance and overall quality. Some conditions may not be available depending on item, category or seller eligibility. </t>
  </si>
  <si>
    <t>Title of the product to be displayed on the Item Page. Your title should ideally be under 90 Characters, Maximum 100 Characters.  Anything over 90 characters will negatively impact your Search Engine Optimization (SEO).</t>
  </si>
  <si>
    <t>20-Piece Paw Print Non-Slip Bathtub Appliques, by Namato</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</si>
  <si>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</si>
  <si>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</si>
  <si>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</si>
  <si>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</si>
  <si>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Celebrate true pride with the Better Homes &amp; Gardens Bath Collection. Each piece in our collection is manufactured in Griffin, Georgia by 1888 Mills, ing a standard that has been handed down from generation to generation. The Better Homes &amp; Gardens bath linens have woven side hems that will not unravel, a staple of manufacturing.  We e exceptional grown cotton that is low-linting and will not lose its thickness over time. Our collection is machine washable with bleach friendly colors for easy care. Each color in our Better Homes &amp; Gardens collection was chosen to represent the soft, relaxing experience everyone desires in their bathroom. We have also designed a classic, casual stripe that coordinates to the solid towels for an added touch of elegance. Available in individual pieces or a 6-piece set.</t>
  </si>
  <si>
    <t>Key features will appear as bulleted text on the item page and in search results. Key features help the user understand the benefits of the product with a simple and clean format.</t>
  </si>
  <si>
    <t>•100% Cotton
•Factory certified
•50% more absorbent than regular bath linens
•Bleach friendly colors
•Durable edges that will not unravel
•Low linting
•Each bath towel measures 30x54
•Also available in a coordinating stripe bath towel</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</si>
  <si>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</si>
  <si>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</si>
  <si>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</si>
  <si>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</si>
  <si>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</si>
  <si>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</si>
  <si>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</si>
  <si>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Color refers to the actual color defined by the manufacturer. For Example, an item may be gray and black (which are used in the Color Category attribute) but the manufacturer calls the color Space Gray.</t>
  </si>
  <si>
    <t>Aqua;Black;Blue;Jet Black;Lime Green;Silver;Space Gray</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</si>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</sst>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155">
    <font>
      <sz val="12"/>
      <color theme="1"/>
      <name val="等线"/>
      <family val="2"/>
      <scheme val="minor"/>
    </font>
    <font>
      <sz val="11"/>
      <color indexed="8"/>
      <name val="等线"/>
      <family val="2"/>
      <scheme val="minor"/>
    </font>
    <font>
      <sz val="11"/>
      <name val="Calibri"/>
      <family val="2"/>
    </font>
    <font>
      <sz val="11"/>
      <color rgb="FF000000"/>
      <name val="等线"/>
      <scheme val="minor"/>
    </font>
    <font>
      <sz val="11"/>
      <name val="等线"/>
      <family val="2"/>
      <scheme val="minor"/>
    </font>
    <font>
      <sz val="16"/>
      <color theme="1"/>
      <name val="Calibri"/>
      <family val="2"/>
    </font>
    <font>
      <sz val="16"/>
      <color rgb="FFFFFFFF"/>
      <name val="Calibri"/>
      <family val="2"/>
    </font>
    <font>
      <sz val="12"/>
      <color indexed="9"/>
      <name val="Calibri (Body)"/>
    </font>
    <font>
      <sz val="16"/>
      <color indexed="9"/>
      <name val="Calibri (Body)"/>
    </font>
    <font>
      <sz val="11"/>
      <color theme="0" tint="-0.14999847407452621"/>
      <name val="等线"/>
      <family val="2"/>
      <scheme val="minor"/>
    </font>
    <font>
      <sz val="11"/>
      <color theme="0" tint="-0.14999847407452621"/>
      <name val="Calibri"/>
      <family val="2"/>
    </font>
    <font>
      <sz val="12"/>
      <color rgb="FFFFFFFF"/>
      <name val="Segoe UI"/>
      <family val="2"/>
    </font>
    <font>
      <sz val="12"/>
      <color rgb="FFFFFFFF"/>
      <name val="Calibri"/>
      <family val="2"/>
    </font>
    <font>
      <b/>
      <sz val="11"/>
      <color indexed="8"/>
      <name val="等线"/>
      <family val="2"/>
      <scheme val="minor"/>
    </font>
    <font>
      <sz val="10"/>
      <color indexed="9"/>
      <name val="Calibri (Body)"/>
    </font>
    <font>
      <b/>
      <sz val="16"/>
      <color rgb="FF000000"/>
      <name val="等线"/>
      <family val="2"/>
      <scheme val="minor"/>
    </font>
    <font>
      <sz val="11"/>
      <color rgb="FF000000"/>
      <name val="等线"/>
      <family val="2"/>
      <scheme val="minor"/>
    </font>
    <font>
      <sz val="11"/>
      <color rgb="FF000000"/>
      <name val="Calibri"/>
      <family val="2"/>
    </font>
    <font>
      <b/>
      <sz val="14"/>
      <color rgb="FF000000"/>
      <name val="等线"/>
      <family val="2"/>
      <scheme val="minor"/>
    </font>
    <font>
      <b/>
      <sz val="13"/>
      <color indexed="23"/>
      <name val="Calibri (Body)"/>
    </font>
    <font>
      <sz val="12"/>
      <color indexed="8"/>
      <name val="Calibri (Body)"/>
    </font>
    <font>
      <sz val="12"/>
      <color rgb="FF000000"/>
      <name val="Calibri (Body)"/>
    </font>
    <font>
      <b/>
      <sz val="12"/>
      <color indexed="8"/>
      <name val="Calibri (Body)"/>
    </font>
    <font>
      <b/>
      <sz val="12"/>
      <color rgb="FF000000"/>
      <name val="Calibri (Body)"/>
    </font>
    <font>
      <sz val="12"/>
      <color rgb="FF000000"/>
      <name val="Calibri"/>
      <family val="2"/>
    </font>
    <font>
      <i/>
      <sz val="12"/>
      <color indexed="55"/>
      <name val="Calibri (Body)"/>
    </font>
    <font>
      <i/>
      <sz val="11"/>
      <color rgb="FF000000"/>
      <name val="等线"/>
      <family val="2"/>
      <scheme val="minor"/>
    </font>
    <font>
      <b/>
      <sz val="11"/>
      <color rgb="FF000000"/>
      <name val="等线"/>
      <family val="2"/>
      <scheme val="minor"/>
    </font>
    <font>
      <b/>
      <sz val="12"/>
      <color rgb="FF000000"/>
      <name val="Calibri"/>
      <family val="2"/>
    </font>
    <font>
      <i/>
      <sz val="12"/>
      <color rgb="FF969696"/>
      <name val="Calibri"/>
      <family val="2"/>
    </font>
    <font>
      <b/>
      <sz val="11"/>
      <color rgb="FF000000"/>
      <name val="等线"/>
      <family val="2"/>
      <scheme val="minor"/>
    </font>
    <font>
      <sz val="11"/>
      <color theme="1"/>
      <name val="等线"/>
      <family val="2"/>
      <scheme val="minor"/>
    </font>
    <font>
      <i/>
      <sz val="12"/>
      <color rgb="FF2E2F32"/>
      <name val="BogleWeb"/>
    </font>
    <font>
      <sz val="12"/>
      <color rgb="FF2E2F32"/>
      <name val="BogleWeb"/>
    </font>
    <font>
      <sz val="12"/>
      <color rgb="FF2E2F32"/>
      <name val="等线"/>
      <family val="2"/>
      <scheme val="minor"/>
    </font>
    <font>
      <i/>
      <sz val="12"/>
      <color rgb="FF2E2F32"/>
      <name val="等线"/>
      <family val="2"/>
      <scheme val="minor"/>
    </font>
    <font>
      <u/>
      <sz val="12"/>
      <color theme="10"/>
      <name val="等线"/>
      <family val="2"/>
      <scheme val="minor"/>
    </font>
    <font>
      <sz val="11"/>
      <color rgb="FF000000"/>
      <name val="Aptos Narrow (Body)"/>
    </font>
    <font>
      <sz val="14"/>
      <color rgb="FF000000"/>
      <name val="Aptos Narrow (Body)"/>
    </font>
    <font>
      <b/>
      <sz val="16"/>
      <name val="等线"/>
      <family val="2"/>
      <scheme val="minor"/>
    </font>
    <font>
      <b/>
      <sz val="11"/>
      <color indexed="8"/>
      <name val="等线"/>
      <family val="2"/>
      <scheme val="minor"/>
    </font>
    <font>
      <b/>
      <sz val="13"/>
      <color indexed="23"/>
      <name val="Calibri (Body)"/>
    </font>
    <font>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6"/>
      <color indexed="9"/>
      <name val="Calibri (Body)"/>
    </font>
    <font>
      <sz val="12"/>
      <color indexed="8"/>
      <name val="Calibri (Body)"/>
    </font>
    <font>
      <b/>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1"/>
      <name val="Calibri"/>
      <family val="2"/>
    </font>
    <font>
      <sz val="11"/>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6"/>
      <color indexed="9"/>
      <name val="Calibri (Body)"/>
    </font>
    <font>
      <sz val="12"/>
      <color indexed="8"/>
      <name val="Calibri (Body)"/>
    </font>
    <font>
      <sz val="12"/>
      <color indexed="8"/>
      <name val="Calibri (Body)"/>
    </font>
    <font>
      <b/>
      <sz val="12"/>
      <color indexed="8"/>
      <name val="Calibri (Body)"/>
    </font>
    <font>
      <i/>
      <sz val="12"/>
      <color indexed="55"/>
      <name val="Calibri (Body)"/>
    </font>
    <font>
      <sz val="12"/>
      <color indexed="8"/>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9"/>
      <name val="等线"/>
      <family val="3"/>
      <charset val="134"/>
      <scheme val="minor"/>
    </font>
  </fonts>
  <fills count="26">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theme="6" tint="0.39997558519241921"/>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theme="7" tint="0.79998168889431442"/>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1"/>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8E8E9A"/>
      </patternFill>
    </fill>
  </fills>
  <borders count="32">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22"/>
      </left>
      <right style="thin">
        <color indexed="22"/>
      </right>
      <top style="thin">
        <color indexed="22"/>
      </top>
      <bottom style="thin">
        <color indexed="22"/>
      </bottom>
      <diagonal/>
    </border>
  </borders>
  <cellStyleXfs count="4">
    <xf numFmtId="0" fontId="0" fillId="0" borderId="0"/>
    <xf numFmtId="0" fontId="1" fillId="0" borderId="0"/>
    <xf numFmtId="0" fontId="1" fillId="0" borderId="0"/>
    <xf numFmtId="0" fontId="36" fillId="0" borderId="0" applyNumberFormat="0" applyFill="0" applyBorder="0" applyAlignment="0" applyProtection="0"/>
  </cellStyleXfs>
  <cellXfs count="303">
    <xf numFmtId="0" fontId="0" fillId="0" borderId="0" xfId="0"/>
    <xf numFmtId="49" fontId="1" fillId="0" borderId="0" xfId="1" applyNumberFormat="1"/>
    <xf numFmtId="0" fontId="2" fillId="0" borderId="0" xfId="1" applyFont="1"/>
    <xf numFmtId="176"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0" fontId="6" fillId="0" borderId="0" xfId="1" applyFont="1"/>
    <xf numFmtId="0" fontId="7" fillId="3" borderId="0" xfId="1" applyFont="1" applyFill="1" applyAlignment="1">
      <alignment vertical="center"/>
    </xf>
    <xf numFmtId="0" fontId="8" fillId="0" borderId="0" xfId="1" applyFont="1" applyAlignment="1">
      <alignment vertical="center"/>
    </xf>
    <xf numFmtId="49" fontId="9" fillId="0" borderId="0" xfId="1" applyNumberFormat="1" applyFont="1"/>
    <xf numFmtId="0" fontId="10" fillId="0" borderId="0" xfId="1" applyFont="1"/>
    <xf numFmtId="176" fontId="9" fillId="0" borderId="0" xfId="1" applyNumberFormat="1" applyFont="1"/>
    <xf numFmtId="0" fontId="9" fillId="0" borderId="0" xfId="1" applyFont="1"/>
    <xf numFmtId="0" fontId="7" fillId="4" borderId="0" xfId="1" applyFont="1" applyFill="1" applyAlignment="1">
      <alignment vertical="center"/>
    </xf>
    <xf numFmtId="0" fontId="11" fillId="5" borderId="0" xfId="1" applyFont="1" applyFill="1" applyAlignment="1">
      <alignment vertical="center"/>
    </xf>
    <xf numFmtId="0" fontId="12" fillId="6" borderId="0" xfId="1" applyFont="1" applyFill="1"/>
    <xf numFmtId="0" fontId="7" fillId="7" borderId="0" xfId="1" applyFont="1" applyFill="1" applyAlignment="1">
      <alignment vertical="center"/>
    </xf>
    <xf numFmtId="0" fontId="7" fillId="8" borderId="0" xfId="1" applyFont="1" applyFill="1" applyAlignment="1">
      <alignment vertical="center"/>
    </xf>
    <xf numFmtId="0" fontId="7" fillId="9" borderId="0" xfId="1" applyFont="1" applyFill="1" applyAlignment="1">
      <alignment vertical="center"/>
    </xf>
    <xf numFmtId="49" fontId="13" fillId="0" borderId="5" xfId="1" applyNumberFormat="1" applyFont="1" applyBorder="1"/>
    <xf numFmtId="0" fontId="14" fillId="0" borderId="0" xfId="1" applyFont="1" applyAlignment="1">
      <alignment vertical="center"/>
    </xf>
    <xf numFmtId="0" fontId="15" fillId="2" borderId="6" xfId="1" applyFont="1" applyFill="1" applyBorder="1" applyAlignment="1">
      <alignment horizontal="center"/>
    </xf>
    <xf numFmtId="49" fontId="16" fillId="0" borderId="0" xfId="1" applyNumberFormat="1" applyFont="1"/>
    <xf numFmtId="0" fontId="17" fillId="0" borderId="0" xfId="1" applyFont="1"/>
    <xf numFmtId="176" fontId="16" fillId="0" borderId="0" xfId="1" applyNumberFormat="1" applyFont="1"/>
    <xf numFmtId="0" fontId="16" fillId="0" borderId="0" xfId="1" applyFont="1"/>
    <xf numFmtId="0" fontId="15" fillId="0" borderId="0" xfId="1" applyFont="1" applyAlignment="1">
      <alignment horizontal="center"/>
    </xf>
    <xf numFmtId="0" fontId="16" fillId="0" borderId="0" xfId="1" applyFont="1" applyAlignment="1">
      <alignment vertical="center"/>
    </xf>
    <xf numFmtId="49" fontId="16" fillId="0" borderId="0" xfId="1" applyNumberFormat="1" applyFont="1" applyAlignment="1">
      <alignment vertical="center" wrapText="1"/>
    </xf>
    <xf numFmtId="0" fontId="18" fillId="10" borderId="0" xfId="1" applyFont="1" applyFill="1" applyAlignment="1">
      <alignment vertical="center"/>
    </xf>
    <xf numFmtId="1" fontId="16" fillId="0" borderId="0" xfId="1" applyNumberFormat="1" applyFont="1" applyAlignment="1">
      <alignment vertical="center" wrapText="1"/>
    </xf>
    <xf numFmtId="49" fontId="16" fillId="0" borderId="0" xfId="2" applyNumberFormat="1" applyFont="1" applyAlignment="1">
      <alignment vertical="center" wrapText="1"/>
    </xf>
    <xf numFmtId="49" fontId="16" fillId="0" borderId="0" xfId="1" applyNumberFormat="1" applyFont="1" applyAlignment="1">
      <alignment horizontal="center" vertical="center" wrapText="1"/>
    </xf>
    <xf numFmtId="0" fontId="16" fillId="0" borderId="0" xfId="1" applyFont="1" applyAlignment="1">
      <alignment vertical="center" wrapText="1"/>
    </xf>
    <xf numFmtId="0" fontId="23" fillId="0" borderId="0" xfId="1" applyFont="1" applyAlignment="1">
      <alignment horizontal="center" vertical="center"/>
    </xf>
    <xf numFmtId="0" fontId="16" fillId="0" borderId="0" xfId="2" applyFont="1" applyAlignment="1">
      <alignment vertical="center"/>
    </xf>
    <xf numFmtId="49" fontId="16" fillId="0" borderId="0" xfId="1" applyNumberFormat="1" applyFont="1" applyAlignment="1">
      <alignment vertical="center"/>
    </xf>
    <xf numFmtId="0" fontId="17" fillId="0" borderId="0" xfId="1" applyFont="1" applyAlignment="1">
      <alignment vertical="center"/>
    </xf>
    <xf numFmtId="176" fontId="16" fillId="0" borderId="0" xfId="1" applyNumberFormat="1" applyFont="1" applyAlignment="1">
      <alignment vertical="center"/>
    </xf>
    <xf numFmtId="0" fontId="21" fillId="0" borderId="0" xfId="1" applyFont="1" applyAlignment="1">
      <alignment horizontal="center" vertical="center"/>
    </xf>
    <xf numFmtId="49" fontId="16" fillId="17" borderId="0" xfId="1" applyNumberFormat="1" applyFont="1" applyFill="1" applyAlignment="1">
      <alignment vertical="center" wrapText="1"/>
    </xf>
    <xf numFmtId="0" fontId="30" fillId="0" borderId="0" xfId="1" applyFont="1" applyAlignment="1">
      <alignment wrapText="1"/>
    </xf>
    <xf numFmtId="49" fontId="31" fillId="0" borderId="0" xfId="1" applyNumberFormat="1" applyFont="1" applyAlignment="1">
      <alignment horizontal="left" vertical="center" wrapText="1"/>
    </xf>
    <xf numFmtId="0" fontId="18" fillId="0" borderId="0" xfId="1" applyFont="1" applyAlignment="1">
      <alignment vertical="center"/>
    </xf>
    <xf numFmtId="0" fontId="22" fillId="0" borderId="1" xfId="1" applyFont="1" applyBorder="1" applyAlignment="1">
      <alignment horizontal="center" vertical="center"/>
    </xf>
    <xf numFmtId="49" fontId="16"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37" fillId="0" borderId="0" xfId="0" applyNumberFormat="1" applyFont="1"/>
    <xf numFmtId="176" fontId="0" fillId="0" borderId="0" xfId="0" applyNumberFormat="1"/>
    <xf numFmtId="0" fontId="20" fillId="19" borderId="0" xfId="0" applyFont="1" applyFill="1" applyAlignment="1">
      <alignment horizontal="center" vertical="center"/>
    </xf>
    <xf numFmtId="0" fontId="20" fillId="20" borderId="0" xfId="0" applyFont="1" applyFill="1" applyAlignment="1">
      <alignment horizontal="center" vertical="center"/>
    </xf>
    <xf numFmtId="0" fontId="20" fillId="22" borderId="0" xfId="0" applyFont="1" applyFill="1" applyAlignment="1">
      <alignment horizontal="center" vertical="center"/>
    </xf>
    <xf numFmtId="0" fontId="20" fillId="23" borderId="0" xfId="0" applyFont="1" applyFill="1" applyAlignment="1">
      <alignment horizontal="center" vertical="center"/>
    </xf>
    <xf numFmtId="0" fontId="20" fillId="24" borderId="0" xfId="0" applyFont="1" applyFill="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5" fillId="0" borderId="0" xfId="0" applyFont="1"/>
    <xf numFmtId="0" fontId="25" fillId="0" borderId="21" xfId="0" applyFont="1" applyBorder="1"/>
    <xf numFmtId="49" fontId="0" fillId="0" borderId="23" xfId="0" applyNumberFormat="1" applyBorder="1"/>
    <xf numFmtId="1" fontId="0" fillId="0" borderId="23" xfId="0" applyNumberFormat="1" applyBorder="1"/>
    <xf numFmtId="0" fontId="2" fillId="0" borderId="23" xfId="0" applyFont="1" applyBorder="1"/>
    <xf numFmtId="49" fontId="37" fillId="0" borderId="23" xfId="0" applyNumberFormat="1" applyFont="1" applyBorder="1"/>
    <xf numFmtId="176" fontId="0" fillId="0" borderId="23" xfId="0" applyNumberFormat="1" applyBorder="1"/>
    <xf numFmtId="49" fontId="0" fillId="0" borderId="24" xfId="0" applyNumberFormat="1" applyBorder="1"/>
    <xf numFmtId="0" fontId="24" fillId="16" borderId="9" xfId="1" applyFont="1" applyFill="1" applyBorder="1" applyAlignment="1">
      <alignment horizontal="center"/>
    </xf>
    <xf numFmtId="0" fontId="18" fillId="10" borderId="16" xfId="1" applyFont="1" applyFill="1" applyBorder="1" applyAlignment="1">
      <alignment vertical="center"/>
    </xf>
    <xf numFmtId="49" fontId="16" fillId="12" borderId="17" xfId="1" applyNumberFormat="1" applyFont="1" applyFill="1" applyBorder="1" applyAlignment="1">
      <alignment vertical="center" wrapText="1"/>
    </xf>
    <xf numFmtId="49" fontId="16" fillId="12" borderId="18" xfId="1" applyNumberFormat="1" applyFont="1" applyFill="1" applyBorder="1" applyAlignment="1">
      <alignment vertical="center" wrapText="1"/>
    </xf>
    <xf numFmtId="0" fontId="28" fillId="0" borderId="21" xfId="1" applyFont="1" applyBorder="1" applyAlignment="1">
      <alignment vertical="center"/>
    </xf>
    <xf numFmtId="0" fontId="27" fillId="0" borderId="19" xfId="1" applyFont="1" applyBorder="1" applyAlignment="1">
      <alignment vertical="center" wrapText="1"/>
    </xf>
    <xf numFmtId="0" fontId="30" fillId="0" borderId="22" xfId="1" applyFont="1" applyBorder="1" applyAlignment="1">
      <alignment vertical="center" wrapText="1"/>
    </xf>
    <xf numFmtId="0" fontId="1" fillId="0" borderId="23" xfId="1" applyBorder="1"/>
    <xf numFmtId="49" fontId="16" fillId="0" borderId="23" xfId="1" applyNumberFormat="1" applyFont="1" applyBorder="1" applyAlignment="1">
      <alignment vertical="center"/>
    </xf>
    <xf numFmtId="0" fontId="2" fillId="0" borderId="23" xfId="1" applyFont="1" applyBorder="1"/>
    <xf numFmtId="0" fontId="3" fillId="0" borderId="0" xfId="1" applyFont="1" applyAlignment="1">
      <alignment horizontal="left" vertical="center" wrapText="1"/>
    </xf>
    <xf numFmtId="0" fontId="3" fillId="0" borderId="19" xfId="1" applyFont="1" applyBorder="1" applyAlignment="1">
      <alignment horizontal="left" vertical="center" wrapText="1"/>
    </xf>
    <xf numFmtId="49" fontId="1" fillId="0" borderId="21" xfId="1" applyNumberFormat="1" applyBorder="1"/>
    <xf numFmtId="49" fontId="1" fillId="0" borderId="24" xfId="1" applyNumberFormat="1" applyBorder="1"/>
    <xf numFmtId="49" fontId="1" fillId="0" borderId="23" xfId="1" applyNumberFormat="1" applyBorder="1"/>
    <xf numFmtId="0" fontId="29" fillId="0" borderId="21" xfId="1" applyFont="1" applyBorder="1" applyAlignment="1">
      <alignment horizontal="left"/>
    </xf>
    <xf numFmtId="0" fontId="24" fillId="16" borderId="21" xfId="1" applyFont="1" applyFill="1" applyBorder="1" applyAlignment="1">
      <alignment horizontal="center"/>
    </xf>
    <xf numFmtId="0" fontId="20" fillId="24" borderId="19" xfId="0"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xf numFmtId="49" fontId="0" fillId="0" borderId="19" xfId="0" applyNumberFormat="1" applyBorder="1"/>
    <xf numFmtId="49" fontId="0" fillId="0" borderId="22" xfId="0" applyNumberFormat="1" applyBorder="1"/>
    <xf numFmtId="49" fontId="36" fillId="0" borderId="0" xfId="3" applyNumberFormat="1"/>
    <xf numFmtId="0" fontId="39" fillId="2" borderId="2" xfId="1" applyFont="1" applyFill="1" applyBorder="1" applyAlignment="1">
      <alignment horizontal="left" vertical="top" wrapText="1"/>
    </xf>
    <xf numFmtId="0" fontId="39" fillId="2" borderId="3" xfId="1" applyFont="1" applyFill="1" applyBorder="1" applyAlignment="1">
      <alignment horizontal="left" vertical="top" wrapText="1"/>
    </xf>
    <xf numFmtId="0" fontId="39" fillId="2" borderId="4" xfId="1" applyFont="1" applyFill="1" applyBorder="1" applyAlignment="1">
      <alignment horizontal="left" vertical="top" wrapText="1"/>
    </xf>
    <xf numFmtId="0" fontId="22" fillId="0" borderId="17" xfId="1" applyFont="1" applyBorder="1" applyAlignment="1">
      <alignment horizontal="center" vertical="center"/>
    </xf>
    <xf numFmtId="49" fontId="40" fillId="0" borderId="18" xfId="1" applyNumberFormat="1" applyFont="1" applyBorder="1"/>
    <xf numFmtId="49" fontId="40" fillId="0" borderId="21" xfId="1" applyNumberFormat="1" applyFont="1" applyBorder="1"/>
    <xf numFmtId="0" fontId="7" fillId="11" borderId="17" xfId="1" applyFont="1" applyFill="1" applyBorder="1" applyAlignment="1">
      <alignment horizontal="left" vertical="top"/>
    </xf>
    <xf numFmtId="0" fontId="7" fillId="7" borderId="17" xfId="1" applyFont="1" applyFill="1" applyBorder="1" applyAlignment="1">
      <alignment vertical="center"/>
    </xf>
    <xf numFmtId="0" fontId="6" fillId="13" borderId="17" xfId="1" applyFont="1" applyFill="1" applyBorder="1"/>
    <xf numFmtId="0" fontId="24" fillId="14" borderId="0" xfId="1" applyFont="1" applyFill="1"/>
    <xf numFmtId="0" fontId="24" fillId="15" borderId="0" xfId="1" applyFont="1" applyFill="1"/>
    <xf numFmtId="0" fontId="24" fillId="16" borderId="0" xfId="1" applyFont="1" applyFill="1"/>
    <xf numFmtId="0" fontId="28" fillId="0" borderId="0" xfId="1" applyFont="1" applyAlignment="1">
      <alignment vertical="center"/>
    </xf>
    <xf numFmtId="0" fontId="29" fillId="0" borderId="0" xfId="1" applyFont="1"/>
    <xf numFmtId="49" fontId="31" fillId="0" borderId="23" xfId="1" applyNumberFormat="1" applyFont="1" applyBorder="1" applyAlignment="1">
      <alignment horizontal="left" wrapText="1"/>
    </xf>
    <xf numFmtId="0" fontId="16" fillId="0" borderId="0" xfId="1" applyFont="1" applyAlignment="1">
      <alignment horizontal="left"/>
    </xf>
    <xf numFmtId="0" fontId="21" fillId="0" borderId="0" xfId="1" applyFont="1" applyAlignment="1">
      <alignment horizontal="left"/>
    </xf>
    <xf numFmtId="0" fontId="1" fillId="0" borderId="23" xfId="1" applyBorder="1" applyAlignment="1">
      <alignment horizontal="left"/>
    </xf>
    <xf numFmtId="0" fontId="21" fillId="0" borderId="23" xfId="1" applyFont="1" applyBorder="1" applyAlignment="1">
      <alignment horizontal="left"/>
    </xf>
    <xf numFmtId="49" fontId="0" fillId="0" borderId="21" xfId="0" applyNumberFormat="1" applyBorder="1"/>
    <xf numFmtId="0" fontId="43" fillId="0" borderId="0" xfId="0" applyFont="1"/>
    <xf numFmtId="0" fontId="44" fillId="0" borderId="0" xfId="0" applyFont="1" applyAlignment="1">
      <alignment horizontal="center"/>
    </xf>
    <xf numFmtId="0" fontId="46" fillId="20" borderId="0" xfId="0" applyFont="1" applyFill="1" applyAlignment="1">
      <alignment horizontal="center" vertical="center"/>
    </xf>
    <xf numFmtId="0" fontId="48" fillId="0" borderId="0" xfId="0" applyFont="1" applyAlignment="1">
      <alignment horizontal="center" vertical="center"/>
    </xf>
    <xf numFmtId="0" fontId="49" fillId="0" borderId="0" xfId="0" applyFont="1"/>
    <xf numFmtId="0" fontId="50" fillId="0" borderId="0" xfId="0" applyFont="1" applyAlignment="1">
      <alignment horizontal="center"/>
    </xf>
    <xf numFmtId="0" fontId="51" fillId="0" borderId="0" xfId="0" applyFont="1"/>
    <xf numFmtId="0" fontId="52" fillId="0" borderId="0" xfId="0" applyFont="1"/>
    <xf numFmtId="0" fontId="53" fillId="25" borderId="0" xfId="0" applyFont="1" applyFill="1" applyAlignment="1">
      <alignment vertical="center"/>
    </xf>
    <xf numFmtId="0" fontId="54" fillId="25" borderId="0" xfId="0" applyFont="1" applyFill="1" applyAlignment="1">
      <alignment horizontal="center" vertical="center"/>
    </xf>
    <xf numFmtId="0" fontId="55" fillId="0" borderId="0" xfId="0" applyFont="1" applyAlignment="1">
      <alignment horizontal="center" vertical="center"/>
    </xf>
    <xf numFmtId="0" fontId="56" fillId="0" borderId="0" xfId="0" applyFont="1"/>
    <xf numFmtId="0" fontId="57" fillId="0" borderId="0" xfId="0" applyFont="1" applyAlignment="1">
      <alignment horizontal="center"/>
    </xf>
    <xf numFmtId="0" fontId="61" fillId="0" borderId="0" xfId="0" applyFont="1" applyAlignment="1">
      <alignment horizontal="center" vertical="center"/>
    </xf>
    <xf numFmtId="0" fontId="62" fillId="0" borderId="0" xfId="0" applyFont="1"/>
    <xf numFmtId="0" fontId="63" fillId="0" borderId="0" xfId="0" applyFont="1" applyAlignment="1">
      <alignment horizontal="center"/>
    </xf>
    <xf numFmtId="0" fontId="65" fillId="22" borderId="0" xfId="0" applyFont="1" applyFill="1" applyAlignment="1">
      <alignment horizontal="center" vertical="center"/>
    </xf>
    <xf numFmtId="0" fontId="67" fillId="0" borderId="0" xfId="0" applyFont="1" applyAlignment="1">
      <alignment horizontal="center" vertical="center"/>
    </xf>
    <xf numFmtId="0" fontId="68" fillId="0" borderId="0" xfId="0" applyFont="1"/>
    <xf numFmtId="0" fontId="69" fillId="0" borderId="0" xfId="0" applyFont="1" applyAlignment="1">
      <alignment horizontal="center"/>
    </xf>
    <xf numFmtId="0" fontId="70" fillId="0" borderId="0" xfId="0" applyFont="1"/>
    <xf numFmtId="0" fontId="72" fillId="23" borderId="0" xfId="0" applyFont="1" applyFill="1" applyAlignment="1">
      <alignment horizontal="center" vertical="center"/>
    </xf>
    <xf numFmtId="0" fontId="74" fillId="0" borderId="0" xfId="0" applyFont="1" applyAlignment="1">
      <alignment horizontal="center" vertical="center"/>
    </xf>
    <xf numFmtId="0" fontId="75" fillId="0" borderId="0" xfId="0" applyFont="1"/>
    <xf numFmtId="0" fontId="76" fillId="0" borderId="0" xfId="0" applyFont="1" applyAlignment="1">
      <alignment horizontal="center"/>
    </xf>
    <xf numFmtId="0" fontId="77" fillId="0" borderId="0" xfId="0" applyFont="1"/>
    <xf numFmtId="0" fontId="78" fillId="0" borderId="0" xfId="0" applyFont="1"/>
    <xf numFmtId="0" fontId="79" fillId="0" borderId="0" xfId="0" applyFont="1"/>
    <xf numFmtId="0" fontId="80" fillId="0" borderId="0" xfId="0" applyFont="1"/>
    <xf numFmtId="0" fontId="82" fillId="24" borderId="0" xfId="0" applyFont="1" applyFill="1" applyAlignment="1">
      <alignment horizontal="center" vertical="center"/>
    </xf>
    <xf numFmtId="0" fontId="84" fillId="0" borderId="0" xfId="0" applyFont="1" applyAlignment="1">
      <alignment horizontal="center" vertical="center"/>
    </xf>
    <xf numFmtId="0" fontId="85" fillId="0" borderId="0" xfId="0" applyFont="1"/>
    <xf numFmtId="0" fontId="86" fillId="0" borderId="0" xfId="0" applyFont="1" applyAlignment="1">
      <alignment horizontal="center"/>
    </xf>
    <xf numFmtId="0" fontId="88" fillId="19" borderId="0" xfId="0" applyFont="1" applyFill="1" applyAlignment="1">
      <alignment horizontal="center" vertical="center"/>
    </xf>
    <xf numFmtId="0" fontId="90" fillId="0" borderId="0" xfId="0" applyFont="1" applyAlignment="1">
      <alignment horizontal="center" vertical="center"/>
    </xf>
    <xf numFmtId="0" fontId="91" fillId="0" borderId="0" xfId="0" applyFont="1"/>
    <xf numFmtId="0" fontId="92" fillId="0" borderId="0" xfId="0" applyFont="1" applyAlignment="1">
      <alignment horizontal="center"/>
    </xf>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applyAlignment="1">
      <alignment horizontal="center" vertical="center" wrapText="1"/>
    </xf>
    <xf numFmtId="0" fontId="0" fillId="0" borderId="31" xfId="0" applyBorder="1" applyAlignment="1">
      <alignment vertical="center" wrapText="1"/>
    </xf>
    <xf numFmtId="0" fontId="0" fillId="0" borderId="31" xfId="0" applyBorder="1" applyAlignment="1">
      <alignment horizontal="left"/>
    </xf>
    <xf numFmtId="0" fontId="0" fillId="0" borderId="31" xfId="0" applyBorder="1" applyAlignment="1">
      <alignment horizontal="right"/>
    </xf>
    <xf numFmtId="0" fontId="0" fillId="18" borderId="31" xfId="0" applyFill="1" applyBorder="1" applyAlignment="1">
      <alignment horizontal="left"/>
    </xf>
    <xf numFmtId="0" fontId="101" fillId="18" borderId="31" xfId="0" applyFont="1" applyFill="1" applyBorder="1" applyAlignment="1">
      <alignment horizontal="center" vertical="center" wrapText="1"/>
    </xf>
    <xf numFmtId="0" fontId="0" fillId="18" borderId="31" xfId="0" applyFill="1" applyBorder="1" applyAlignment="1">
      <alignment vertical="center" wrapText="1"/>
    </xf>
    <xf numFmtId="0" fontId="0" fillId="18" borderId="31" xfId="0" applyFill="1" applyBorder="1" applyAlignment="1">
      <alignment horizontal="right"/>
    </xf>
    <xf numFmtId="0" fontId="102" fillId="0" borderId="31" xfId="0" applyFont="1" applyBorder="1" applyAlignment="1">
      <alignment horizontal="center" vertical="center" wrapText="1"/>
    </xf>
    <xf numFmtId="0" fontId="103" fillId="18" borderId="31" xfId="0" applyFont="1" applyFill="1" applyBorder="1" applyAlignment="1">
      <alignment horizontal="center" vertical="center" wrapText="1"/>
    </xf>
    <xf numFmtId="0" fontId="104" fillId="0" borderId="31" xfId="0" applyFont="1" applyBorder="1" applyAlignment="1">
      <alignment horizontal="center" vertical="center" wrapText="1"/>
    </xf>
    <xf numFmtId="0" fontId="105" fillId="18" borderId="31" xfId="0" applyFont="1" applyFill="1" applyBorder="1" applyAlignment="1">
      <alignment horizontal="center" vertical="center" wrapText="1"/>
    </xf>
    <xf numFmtId="0" fontId="106" fillId="0" borderId="31" xfId="0" applyFont="1" applyBorder="1" applyAlignment="1">
      <alignment horizontal="center" vertical="center" wrapText="1"/>
    </xf>
    <xf numFmtId="0" fontId="107" fillId="18" borderId="31" xfId="0" applyFont="1" applyFill="1" applyBorder="1" applyAlignment="1">
      <alignment horizontal="center" vertical="center" wrapText="1"/>
    </xf>
    <xf numFmtId="0" fontId="108" fillId="0" borderId="31" xfId="0" applyFont="1" applyBorder="1" applyAlignment="1">
      <alignment horizontal="center" vertical="center" wrapText="1"/>
    </xf>
    <xf numFmtId="0" fontId="109" fillId="18" borderId="31" xfId="0" applyFont="1" applyFill="1" applyBorder="1" applyAlignment="1">
      <alignment horizontal="center" vertical="center" wrapText="1"/>
    </xf>
    <xf numFmtId="0" fontId="110" fillId="0" borderId="31" xfId="0" applyFont="1" applyBorder="1" applyAlignment="1">
      <alignment horizontal="center" vertical="center" wrapText="1"/>
    </xf>
    <xf numFmtId="0" fontId="111" fillId="18" borderId="31" xfId="0" applyFont="1" applyFill="1" applyBorder="1" applyAlignment="1">
      <alignment horizontal="center" vertical="center" wrapText="1"/>
    </xf>
    <xf numFmtId="0" fontId="112" fillId="0" borderId="31" xfId="0" applyFont="1" applyBorder="1" applyAlignment="1">
      <alignment horizontal="center" vertical="center" wrapText="1"/>
    </xf>
    <xf numFmtId="0" fontId="113" fillId="18" borderId="31" xfId="0" applyFont="1" applyFill="1" applyBorder="1" applyAlignment="1">
      <alignment horizontal="center" vertical="center" wrapText="1"/>
    </xf>
    <xf numFmtId="0" fontId="114" fillId="0" borderId="31" xfId="0" applyFont="1" applyBorder="1" applyAlignment="1">
      <alignment horizontal="center" vertical="center" wrapText="1"/>
    </xf>
    <xf numFmtId="0" fontId="115" fillId="18" borderId="31" xfId="0" applyFont="1" applyFill="1" applyBorder="1" applyAlignment="1">
      <alignment horizontal="center" vertical="center" wrapText="1"/>
    </xf>
    <xf numFmtId="0" fontId="116" fillId="0" borderId="31" xfId="0" applyFont="1" applyBorder="1" applyAlignment="1">
      <alignment horizontal="center" vertical="center" wrapText="1"/>
    </xf>
    <xf numFmtId="0" fontId="117" fillId="18" borderId="31" xfId="0" applyFont="1" applyFill="1" applyBorder="1" applyAlignment="1">
      <alignment horizontal="center" vertical="center" wrapText="1"/>
    </xf>
    <xf numFmtId="0" fontId="118" fillId="0" borderId="31" xfId="0" applyFont="1" applyBorder="1" applyAlignment="1">
      <alignment horizontal="center" vertical="center" wrapText="1"/>
    </xf>
    <xf numFmtId="0" fontId="119" fillId="18" borderId="31" xfId="0" applyFont="1" applyFill="1" applyBorder="1" applyAlignment="1">
      <alignment horizontal="center" vertical="center" wrapText="1"/>
    </xf>
    <xf numFmtId="0" fontId="120" fillId="0" borderId="31" xfId="0" applyFont="1" applyBorder="1" applyAlignment="1">
      <alignment horizontal="center" vertical="center" wrapText="1"/>
    </xf>
    <xf numFmtId="0" fontId="121" fillId="18" borderId="31" xfId="0" applyFont="1" applyFill="1" applyBorder="1" applyAlignment="1">
      <alignment horizontal="center" vertical="center" wrapText="1"/>
    </xf>
    <xf numFmtId="0" fontId="122" fillId="0" borderId="31" xfId="0" applyFont="1" applyBorder="1" applyAlignment="1">
      <alignment horizontal="center" vertical="center" wrapText="1"/>
    </xf>
    <xf numFmtId="0" fontId="123" fillId="18" borderId="31" xfId="0" applyFont="1" applyFill="1" applyBorder="1" applyAlignment="1">
      <alignment horizontal="center" vertical="center" wrapText="1"/>
    </xf>
    <xf numFmtId="0" fontId="124" fillId="0" borderId="31" xfId="0" applyFont="1" applyBorder="1" applyAlignment="1">
      <alignment horizontal="center" vertical="center" wrapText="1"/>
    </xf>
    <xf numFmtId="0" fontId="125" fillId="18" borderId="31" xfId="0" applyFont="1" applyFill="1" applyBorder="1" applyAlignment="1">
      <alignment horizontal="center" vertical="center" wrapText="1"/>
    </xf>
    <xf numFmtId="0" fontId="126" fillId="0" borderId="31" xfId="0" applyFont="1" applyBorder="1" applyAlignment="1">
      <alignment horizontal="center" vertical="center" wrapText="1"/>
    </xf>
    <xf numFmtId="0" fontId="127" fillId="18" borderId="31" xfId="0" applyFont="1" applyFill="1" applyBorder="1" applyAlignment="1">
      <alignment horizontal="center" vertical="center" wrapText="1"/>
    </xf>
    <xf numFmtId="0" fontId="128" fillId="0" borderId="31" xfId="0" applyFont="1" applyBorder="1" applyAlignment="1">
      <alignment horizontal="center" vertical="center" wrapText="1"/>
    </xf>
    <xf numFmtId="0" fontId="129" fillId="18" borderId="31" xfId="0" applyFont="1" applyFill="1" applyBorder="1" applyAlignment="1">
      <alignment horizontal="center" vertical="center" wrapText="1"/>
    </xf>
    <xf numFmtId="0" fontId="130" fillId="0" borderId="31" xfId="0" applyFont="1" applyBorder="1" applyAlignment="1">
      <alignment horizontal="center" vertical="center" wrapText="1"/>
    </xf>
    <xf numFmtId="0" fontId="131" fillId="18" borderId="31" xfId="0" applyFont="1" applyFill="1" applyBorder="1" applyAlignment="1">
      <alignment horizontal="center" vertical="center" wrapText="1"/>
    </xf>
    <xf numFmtId="0" fontId="132" fillId="0" borderId="31" xfId="0" applyFont="1" applyBorder="1" applyAlignment="1">
      <alignment horizontal="center" vertical="center" wrapText="1"/>
    </xf>
    <xf numFmtId="0" fontId="133" fillId="18" borderId="31" xfId="0" applyFont="1" applyFill="1" applyBorder="1" applyAlignment="1">
      <alignment horizontal="center" vertical="center" wrapText="1"/>
    </xf>
    <xf numFmtId="0" fontId="134" fillId="0" borderId="31" xfId="0" applyFont="1" applyBorder="1" applyAlignment="1">
      <alignment horizontal="center" vertical="center" wrapText="1"/>
    </xf>
    <xf numFmtId="0" fontId="135" fillId="18" borderId="31" xfId="0" applyFont="1" applyFill="1" applyBorder="1" applyAlignment="1">
      <alignment horizontal="center" vertical="center" wrapText="1"/>
    </xf>
    <xf numFmtId="0" fontId="136" fillId="18" borderId="31" xfId="0" applyFont="1" applyFill="1" applyBorder="1" applyAlignment="1">
      <alignment horizontal="center" vertical="center" wrapText="1"/>
    </xf>
    <xf numFmtId="0" fontId="137" fillId="18" borderId="31" xfId="0" applyFont="1" applyFill="1" applyBorder="1" applyAlignment="1">
      <alignment horizontal="center" vertical="center" wrapText="1"/>
    </xf>
    <xf numFmtId="0" fontId="138" fillId="0" borderId="31" xfId="0" applyFont="1" applyBorder="1" applyAlignment="1">
      <alignment horizontal="center" vertical="center" wrapText="1"/>
    </xf>
    <xf numFmtId="0" fontId="139" fillId="18" borderId="31" xfId="0" applyFont="1" applyFill="1" applyBorder="1" applyAlignment="1">
      <alignment horizontal="center" vertical="center" wrapText="1"/>
    </xf>
    <xf numFmtId="0" fontId="140" fillId="0" borderId="31" xfId="0" applyFont="1" applyBorder="1" applyAlignment="1">
      <alignment horizontal="center" vertical="center" wrapText="1"/>
    </xf>
    <xf numFmtId="0" fontId="141" fillId="18" borderId="31" xfId="0" applyFont="1" applyFill="1" applyBorder="1" applyAlignment="1">
      <alignment horizontal="center" vertical="center" wrapText="1"/>
    </xf>
    <xf numFmtId="0" fontId="142" fillId="0" borderId="31" xfId="0" applyFont="1" applyBorder="1" applyAlignment="1">
      <alignment horizontal="center" vertical="center" wrapText="1"/>
    </xf>
    <xf numFmtId="0" fontId="143" fillId="18" borderId="31" xfId="0" applyFont="1" applyFill="1" applyBorder="1" applyAlignment="1">
      <alignment horizontal="center" vertical="center" wrapText="1"/>
    </xf>
    <xf numFmtId="0" fontId="144" fillId="0" borderId="31" xfId="0" applyFont="1" applyBorder="1" applyAlignment="1">
      <alignment horizontal="center" vertical="center" wrapText="1"/>
    </xf>
    <xf numFmtId="0" fontId="145" fillId="18" borderId="31" xfId="0" applyFont="1" applyFill="1" applyBorder="1" applyAlignment="1">
      <alignment horizontal="center" vertical="center" wrapText="1"/>
    </xf>
    <xf numFmtId="0" fontId="146" fillId="0" borderId="31" xfId="0" applyFont="1" applyBorder="1" applyAlignment="1">
      <alignment horizontal="center" vertical="center" wrapText="1"/>
    </xf>
    <xf numFmtId="0" fontId="147" fillId="18" borderId="31" xfId="0" applyFont="1" applyFill="1" applyBorder="1" applyAlignment="1">
      <alignment horizontal="center" vertical="center" wrapText="1"/>
    </xf>
    <xf numFmtId="0" fontId="148" fillId="0" borderId="31" xfId="0" applyFont="1" applyBorder="1" applyAlignment="1">
      <alignment horizontal="center" vertical="center" wrapText="1"/>
    </xf>
    <xf numFmtId="0" fontId="149" fillId="18" borderId="31" xfId="0" applyFont="1" applyFill="1" applyBorder="1" applyAlignment="1">
      <alignment horizontal="center" vertical="center" wrapText="1"/>
    </xf>
    <xf numFmtId="0" fontId="150" fillId="0" borderId="31" xfId="0" applyFont="1" applyBorder="1" applyAlignment="1">
      <alignment horizontal="center" vertical="center" wrapText="1"/>
    </xf>
    <xf numFmtId="0" fontId="151" fillId="18" borderId="31" xfId="0" applyFont="1" applyFill="1" applyBorder="1" applyAlignment="1">
      <alignment horizontal="center" vertical="center" wrapText="1"/>
    </xf>
    <xf numFmtId="0" fontId="152" fillId="0" borderId="31" xfId="0" applyFont="1" applyBorder="1" applyAlignment="1">
      <alignment horizontal="center" vertical="center" wrapText="1"/>
    </xf>
    <xf numFmtId="0" fontId="153" fillId="18" borderId="31" xfId="0" applyFont="1" applyFill="1" applyBorder="1" applyAlignment="1">
      <alignment horizontal="center" vertical="center" wrapText="1"/>
    </xf>
    <xf numFmtId="0" fontId="13" fillId="0" borderId="25" xfId="1" applyFont="1" applyBorder="1" applyAlignment="1">
      <alignment horizontal="left" vertical="center"/>
    </xf>
    <xf numFmtId="0" fontId="13" fillId="0" borderId="19" xfId="1" applyFont="1" applyBorder="1" applyAlignment="1">
      <alignment horizontal="left" vertical="center"/>
    </xf>
    <xf numFmtId="0" fontId="13" fillId="0" borderId="22" xfId="1" applyFont="1" applyBorder="1" applyAlignment="1">
      <alignment horizontal="left" vertical="center"/>
    </xf>
    <xf numFmtId="0" fontId="3" fillId="0" borderId="0" xfId="1" applyFont="1" applyAlignment="1">
      <alignment horizontal="left" vertical="center" wrapText="1"/>
    </xf>
    <xf numFmtId="0" fontId="3" fillId="0" borderId="23" xfId="1" applyFont="1" applyBorder="1" applyAlignment="1">
      <alignment horizontal="left" vertical="center" wrapText="1"/>
    </xf>
    <xf numFmtId="49" fontId="1" fillId="0" borderId="21" xfId="1" applyNumberFormat="1" applyBorder="1" applyAlignment="1">
      <alignment horizontal="left" vertical="top" wrapText="1"/>
    </xf>
    <xf numFmtId="49" fontId="1" fillId="0" borderId="24" xfId="1" applyNumberFormat="1" applyBorder="1" applyAlignment="1">
      <alignment horizontal="left" vertical="top" wrapText="1"/>
    </xf>
    <xf numFmtId="0" fontId="3" fillId="0" borderId="16" xfId="1" applyFont="1" applyBorder="1" applyAlignment="1">
      <alignment horizontal="left" vertical="top" wrapText="1"/>
    </xf>
    <xf numFmtId="0" fontId="3" fillId="0" borderId="19" xfId="1" applyFont="1" applyBorder="1" applyAlignment="1">
      <alignment horizontal="left" vertical="top" wrapText="1"/>
    </xf>
    <xf numFmtId="0" fontId="18" fillId="10" borderId="16" xfId="1" applyFont="1" applyFill="1" applyBorder="1" applyAlignment="1">
      <alignment horizontal="left" vertical="center"/>
    </xf>
    <xf numFmtId="0" fontId="18" fillId="10" borderId="17" xfId="1" applyFont="1" applyFill="1" applyBorder="1" applyAlignment="1">
      <alignment horizontal="left" vertical="center"/>
    </xf>
    <xf numFmtId="0" fontId="18" fillId="10" borderId="18" xfId="1" applyFont="1" applyFill="1" applyBorder="1" applyAlignment="1">
      <alignment horizontal="left" vertical="center"/>
    </xf>
    <xf numFmtId="0" fontId="3" fillId="0" borderId="19" xfId="1" applyFont="1" applyBorder="1" applyAlignment="1">
      <alignment horizontal="left" vertical="center" wrapText="1"/>
    </xf>
    <xf numFmtId="0" fontId="3" fillId="0" borderId="22" xfId="1" applyFont="1" applyBorder="1" applyAlignment="1">
      <alignment horizontal="left" vertical="center" wrapText="1"/>
    </xf>
    <xf numFmtId="49" fontId="1" fillId="0" borderId="0" xfId="1" applyNumberFormat="1" applyAlignment="1">
      <alignment horizontal="center" vertical="center" wrapText="1"/>
    </xf>
    <xf numFmtId="49" fontId="34" fillId="0" borderId="0" xfId="1" applyNumberFormat="1" applyFont="1" applyAlignment="1">
      <alignment horizontal="center" vertical="center" wrapText="1"/>
    </xf>
    <xf numFmtId="0" fontId="3" fillId="0" borderId="0" xfId="1" applyFont="1" applyAlignment="1">
      <alignment horizontal="left" vertical="top" wrapText="1"/>
    </xf>
    <xf numFmtId="0" fontId="13" fillId="0" borderId="16" xfId="1" applyFont="1" applyBorder="1" applyAlignment="1">
      <alignment horizontal="left" vertical="center"/>
    </xf>
    <xf numFmtId="0" fontId="13" fillId="0" borderId="29" xfId="1" applyFont="1" applyBorder="1" applyAlignment="1">
      <alignment horizontal="left" vertical="center"/>
    </xf>
    <xf numFmtId="0" fontId="3" fillId="0" borderId="21" xfId="1" applyFont="1" applyBorder="1" applyAlignment="1">
      <alignment horizontal="left" vertical="top" wrapText="1"/>
    </xf>
    <xf numFmtId="0" fontId="3" fillId="0" borderId="30" xfId="1" applyFont="1" applyBorder="1" applyAlignment="1">
      <alignment horizontal="left" vertical="top" wrapText="1"/>
    </xf>
    <xf numFmtId="0" fontId="8" fillId="8" borderId="16" xfId="0" applyFont="1" applyFill="1" applyBorder="1" applyAlignment="1">
      <alignment vertical="center"/>
    </xf>
    <xf numFmtId="0" fontId="8" fillId="8" borderId="17" xfId="0" applyFont="1" applyFill="1" applyBorder="1" applyAlignment="1">
      <alignment vertical="center"/>
    </xf>
    <xf numFmtId="49" fontId="0" fillId="0" borderId="17" xfId="0" applyNumberFormat="1" applyBorder="1"/>
    <xf numFmtId="49" fontId="0" fillId="0" borderId="18" xfId="0" applyNumberFormat="1" applyBorder="1"/>
    <xf numFmtId="0" fontId="20" fillId="19" borderId="15" xfId="0" applyFont="1" applyFill="1" applyBorder="1" applyAlignment="1">
      <alignment horizontal="center" vertical="center"/>
    </xf>
    <xf numFmtId="0" fontId="20" fillId="19" borderId="0" xfId="0" applyFont="1" applyFill="1" applyAlignment="1">
      <alignment horizontal="center" vertical="center"/>
    </xf>
    <xf numFmtId="0" fontId="20" fillId="19" borderId="20" xfId="0" applyFont="1" applyFill="1" applyBorder="1" applyAlignment="1">
      <alignment horizontal="center" vertical="center"/>
    </xf>
    <xf numFmtId="0" fontId="18" fillId="10" borderId="26" xfId="1" applyFont="1" applyFill="1" applyBorder="1" applyAlignment="1">
      <alignment horizontal="left" vertical="center"/>
    </xf>
    <xf numFmtId="0" fontId="18" fillId="10" borderId="27" xfId="1" applyFont="1" applyFill="1" applyBorder="1" applyAlignment="1">
      <alignment horizontal="left" vertical="center"/>
    </xf>
    <xf numFmtId="0" fontId="18" fillId="10" borderId="28" xfId="1" applyFont="1" applyFill="1" applyBorder="1" applyAlignment="1">
      <alignment horizontal="left" vertical="center"/>
    </xf>
    <xf numFmtId="49" fontId="16" fillId="0" borderId="16" xfId="1" applyNumberFormat="1" applyFont="1" applyBorder="1" applyAlignment="1">
      <alignment horizontal="left" vertical="center" wrapText="1"/>
    </xf>
    <xf numFmtId="49" fontId="16" fillId="0" borderId="19" xfId="1" applyNumberFormat="1" applyFont="1" applyBorder="1" applyAlignment="1">
      <alignment horizontal="left" vertical="center" wrapText="1"/>
    </xf>
    <xf numFmtId="49" fontId="16" fillId="0" borderId="22" xfId="1" applyNumberFormat="1" applyFont="1" applyBorder="1" applyAlignment="1">
      <alignment horizontal="left" vertical="center" wrapText="1"/>
    </xf>
    <xf numFmtId="0" fontId="8" fillId="3" borderId="17" xfId="0" applyFont="1" applyFill="1" applyBorder="1" applyAlignment="1">
      <alignment vertical="center"/>
    </xf>
    <xf numFmtId="0" fontId="2" fillId="0" borderId="17" xfId="0" applyFont="1" applyBorder="1"/>
    <xf numFmtId="0" fontId="8" fillId="4" borderId="17" xfId="0" applyFont="1" applyFill="1" applyBorder="1" applyAlignment="1">
      <alignment vertical="center"/>
    </xf>
    <xf numFmtId="0" fontId="8" fillId="11" borderId="17" xfId="0" applyFont="1" applyFill="1" applyBorder="1" applyAlignment="1">
      <alignment vertical="center"/>
    </xf>
    <xf numFmtId="0" fontId="8" fillId="7" borderId="17" xfId="0" applyFont="1" applyFill="1" applyBorder="1" applyAlignment="1">
      <alignment vertical="center"/>
    </xf>
    <xf numFmtId="0" fontId="8" fillId="9" borderId="17" xfId="0" applyFont="1" applyFill="1" applyBorder="1" applyAlignment="1">
      <alignment vertical="center"/>
    </xf>
    <xf numFmtId="176" fontId="0" fillId="0" borderId="17" xfId="0" applyNumberFormat="1" applyBorder="1"/>
    <xf numFmtId="0" fontId="20" fillId="21" borderId="11" xfId="0" applyFont="1" applyFill="1" applyBorder="1" applyAlignment="1">
      <alignment horizontal="center" vertical="center"/>
    </xf>
    <xf numFmtId="0" fontId="20" fillId="21" borderId="0" xfId="0" applyFont="1" applyFill="1" applyAlignment="1">
      <alignment horizontal="center" vertical="center"/>
    </xf>
    <xf numFmtId="0" fontId="20" fillId="22" borderId="12" xfId="0" applyFont="1" applyFill="1" applyBorder="1" applyAlignment="1">
      <alignment horizontal="center" vertical="center"/>
    </xf>
    <xf numFmtId="0" fontId="20" fillId="23" borderId="13" xfId="0" applyFont="1" applyFill="1" applyBorder="1" applyAlignment="1">
      <alignment horizontal="center" vertical="center"/>
    </xf>
    <xf numFmtId="49" fontId="34" fillId="0" borderId="21" xfId="1" applyNumberFormat="1" applyFont="1" applyBorder="1" applyAlignment="1">
      <alignment horizontal="center" vertical="center" wrapText="1"/>
    </xf>
    <xf numFmtId="49" fontId="34" fillId="0" borderId="24" xfId="1" applyNumberFormat="1" applyFont="1" applyBorder="1" applyAlignment="1">
      <alignment horizontal="center" vertical="center" wrapText="1"/>
    </xf>
    <xf numFmtId="0" fontId="15" fillId="2" borderId="6" xfId="1" applyFont="1" applyFill="1" applyBorder="1" applyAlignment="1">
      <alignment horizontal="center"/>
    </xf>
    <xf numFmtId="0" fontId="15" fillId="2" borderId="7" xfId="1" applyFont="1" applyFill="1" applyBorder="1" applyAlignment="1">
      <alignment horizontal="center"/>
    </xf>
    <xf numFmtId="0" fontId="15" fillId="2" borderId="8" xfId="1" applyFont="1" applyFill="1" applyBorder="1" applyAlignment="1">
      <alignment horizontal="center"/>
    </xf>
    <xf numFmtId="0" fontId="20" fillId="24" borderId="14" xfId="0" applyFont="1" applyFill="1" applyBorder="1" applyAlignment="1">
      <alignment horizontal="center" vertical="center"/>
    </xf>
    <xf numFmtId="0" fontId="3" fillId="0" borderId="2" xfId="1" applyFont="1" applyBorder="1" applyAlignment="1">
      <alignment horizontal="left" vertical="top" wrapText="1"/>
    </xf>
    <xf numFmtId="0" fontId="4" fillId="0" borderId="3" xfId="1" applyFont="1" applyBorder="1" applyAlignment="1">
      <alignment horizontal="left" vertical="top" wrapText="1"/>
    </xf>
    <xf numFmtId="0" fontId="4" fillId="0" borderId="4" xfId="1" applyFont="1" applyBorder="1" applyAlignment="1">
      <alignment horizontal="left" vertical="top" wrapText="1"/>
    </xf>
    <xf numFmtId="0" fontId="19" fillId="18" borderId="17" xfId="0" applyFont="1" applyFill="1" applyBorder="1" applyAlignment="1">
      <alignment horizontal="center" vertical="center"/>
    </xf>
    <xf numFmtId="0" fontId="19" fillId="18" borderId="0" xfId="0" applyFont="1" applyFill="1" applyAlignment="1">
      <alignment horizontal="center" vertical="center"/>
    </xf>
    <xf numFmtId="0" fontId="20" fillId="20" borderId="10" xfId="0" applyFont="1" applyFill="1" applyBorder="1" applyAlignment="1">
      <alignment horizontal="center" vertical="center"/>
    </xf>
    <xf numFmtId="0" fontId="41" fillId="18" borderId="0" xfId="0" applyFont="1" applyFill="1" applyAlignment="1">
      <alignment horizontal="center" vertical="center"/>
    </xf>
    <xf numFmtId="0" fontId="42" fillId="19" borderId="0" xfId="0" applyFont="1" applyFill="1" applyAlignment="1">
      <alignment horizontal="center" vertical="center"/>
    </xf>
    <xf numFmtId="0" fontId="47" fillId="20" borderId="10" xfId="0" applyFont="1" applyFill="1" applyBorder="1" applyAlignment="1">
      <alignment horizontal="center" vertical="center"/>
    </xf>
    <xf numFmtId="0" fontId="45" fillId="3" borderId="0" xfId="0" applyFont="1" applyFill="1" applyAlignment="1">
      <alignment vertical="center"/>
    </xf>
    <xf numFmtId="49" fontId="0" fillId="0" borderId="0" xfId="0" applyNumberFormat="1"/>
    <xf numFmtId="0" fontId="51" fillId="0" borderId="0" xfId="0" applyFont="1"/>
    <xf numFmtId="0" fontId="52" fillId="0" borderId="0" xfId="0" applyFont="1"/>
    <xf numFmtId="0" fontId="60" fillId="21" borderId="11" xfId="0" applyFont="1" applyFill="1" applyBorder="1" applyAlignment="1">
      <alignment horizontal="center" vertical="center"/>
    </xf>
    <xf numFmtId="0" fontId="59" fillId="21" borderId="0" xfId="0" applyFont="1" applyFill="1" applyAlignment="1">
      <alignment horizontal="center" vertical="center"/>
    </xf>
    <xf numFmtId="0" fontId="58" fillId="4" borderId="0" xfId="0" applyFont="1" applyFill="1" applyAlignment="1">
      <alignment vertical="center"/>
    </xf>
    <xf numFmtId="0" fontId="66" fillId="22" borderId="12" xfId="0" applyFont="1" applyFill="1" applyBorder="1" applyAlignment="1">
      <alignment horizontal="center" vertical="center"/>
    </xf>
    <xf numFmtId="0" fontId="64" fillId="11" borderId="0" xfId="0" applyFont="1" applyFill="1" applyAlignment="1">
      <alignment vertical="center"/>
    </xf>
    <xf numFmtId="0" fontId="70" fillId="0" borderId="0" xfId="0" applyFont="1"/>
    <xf numFmtId="0" fontId="73" fillId="23" borderId="13" xfId="0" applyFont="1" applyFill="1" applyBorder="1" applyAlignment="1">
      <alignment horizontal="center" vertical="center"/>
    </xf>
    <xf numFmtId="0" fontId="71" fillId="7" borderId="0" xfId="0" applyFont="1" applyFill="1" applyAlignment="1">
      <alignment vertical="center"/>
    </xf>
    <xf numFmtId="0" fontId="77" fillId="0" borderId="0" xfId="0" applyFont="1"/>
    <xf numFmtId="0" fontId="78" fillId="0" borderId="0" xfId="0" applyFont="1"/>
    <xf numFmtId="0" fontId="79" fillId="0" borderId="0" xfId="0" applyFont="1"/>
    <xf numFmtId="0" fontId="80" fillId="0" borderId="0" xfId="0" applyFont="1"/>
    <xf numFmtId="0" fontId="83" fillId="24" borderId="14" xfId="0" applyFont="1" applyFill="1" applyBorder="1" applyAlignment="1">
      <alignment horizontal="center" vertical="center"/>
    </xf>
    <xf numFmtId="0" fontId="81" fillId="8" borderId="0" xfId="0" applyFont="1" applyFill="1" applyAlignment="1">
      <alignment vertical="center"/>
    </xf>
    <xf numFmtId="0" fontId="89" fillId="19" borderId="15" xfId="0" applyFont="1" applyFill="1" applyBorder="1" applyAlignment="1">
      <alignment horizontal="center" vertical="center"/>
    </xf>
    <xf numFmtId="0" fontId="88" fillId="19" borderId="0" xfId="0" applyFont="1" applyFill="1" applyAlignment="1">
      <alignment horizontal="center" vertical="center"/>
    </xf>
    <xf numFmtId="0" fontId="87" fillId="9" borderId="0" xfId="0" applyFont="1" applyFill="1" applyAlignment="1">
      <alignment vertical="center"/>
    </xf>
    <xf numFmtId="176" fontId="0" fillId="0" borderId="0" xfId="0" applyNumberFormat="1"/>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cellXfs>
  <cellStyles count="4">
    <cellStyle name="Normal 2" xfId="1" xr:uid="{FFD4F98F-3AE2-E84A-96AB-2B75FE8EC168}"/>
    <cellStyle name="Normal 3" xfId="2" xr:uid="{AE70E862-5345-9242-A44E-C509CE215DDB}"/>
    <cellStyle name="常规" xfId="0" builtinId="0"/>
    <cellStyle name="超链接" xfId="3" builtinId="8"/>
  </cellStyles>
  <dxfs count="43">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839255" y="18779066"/>
          <a:ext cx="2518279" cy="1818217"/>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432800" y="18826311"/>
          <a:ext cx="2607733" cy="1793972"/>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7ADD48D1-16C0-ECF8-440A-BCA0493D3075}"/>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5332621" y="14162856"/>
          <a:ext cx="1571134" cy="1326570"/>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7B356EB4-5873-4847-94B0-12F5853C02DF}"/>
            </a:ext>
            <a:ext uri="{147F2762-F138-4A5C-976F-8EAC2B608ADB}">
              <a16:predDERef xmlns:a16="http://schemas.microsoft.com/office/drawing/2014/main" pred="{7299765D-911A-4197-BEE4-5EB46BBEDF03}"/>
            </a:ext>
          </a:extLst>
        </xdr:cNvPr>
        <xdr:cNvSpPr/>
      </xdr:nvSpPr>
      <xdr:spPr>
        <a:xfrm>
          <a:off x="13103604" y="13373487"/>
          <a:ext cx="136849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A028C6F8-8180-F564-37E4-F22376762BEE}"/>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4988396" y="12664056"/>
          <a:ext cx="1521604" cy="1341887"/>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245340</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224318" y="19712654"/>
          <a:ext cx="1198265" cy="910414"/>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7A03F42F-DA9E-7C49-8351-DDEF86BF9121}"/>
            </a:ext>
            <a:ext uri="{147F2762-F138-4A5C-976F-8EAC2B608ADB}">
              <a16:predDERef xmlns:a16="http://schemas.microsoft.com/office/drawing/2014/main" pred="{5AAB2037-8B9C-407B-8A02-43F916D83F03}"/>
            </a:ext>
          </a:extLst>
        </xdr:cNvPr>
        <xdr:cNvSpPr/>
      </xdr:nvSpPr>
      <xdr:spPr>
        <a:xfrm>
          <a:off x="19205418" y="14636967"/>
          <a:ext cx="1466850" cy="721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untry_of_origin_substantial_transformation" displayName="country_of_origin_substantial_transformation" ref="B22:B272">
  <tableColumns count="1">
    <tableColumn id="1" xr3:uid="{00000000-0010-0000-0000-000001000000}" name="country_of_origin_substantial_transformation"/>
  </tableColumns>
  <tableStyleInfo name="metaTabl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tteryTechnologyType" displayName="batteryTechnologyType" ref="C22:C34">
  <tableColumns count="1">
    <tableColumn id="1" xr3:uid="{00000000-0010-0000-0100-000001000000}" name="batteryTechnologyType"/>
  </tableColumns>
  <tableStyleInfo name="metaTableStyle"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ternalProductIdentifier" displayName="externalProductIdentifier" ref="G22:G23">
  <tableColumns count="1">
    <tableColumn id="1" xr3:uid="{00000000-0010-0000-0200-000001000000}" name="externalProductIdentifier"/>
  </tableColumns>
  <tableStyleInfo name="metaTableStyle" showFirstColumn="1" showLastColumn="1"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sPreorder" displayName="IsPreorder" ref="H22:H24">
  <tableColumns count="1">
    <tableColumn id="1" xr3:uid="{00000000-0010-0000-0300-000001000000}" name="IsPreorder"/>
  </tableColumns>
  <tableStyleInfo name="metaTableStyle" showFirstColumn="1" showLastColumn="1"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ustShipAlone" displayName="MustShipAlone" ref="J22:J24">
  <tableColumns count="1">
    <tableColumn id="1" xr3:uid="{00000000-0010-0000-0400-000001000000}" name="MustShipAlone"/>
  </tableColumns>
  <tableStyleInfo name="metaTableStyle" showFirstColumn="1" showLastColumn="1"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kuUpdate" displayName="SkuUpdate" ref="L22:L24">
  <tableColumns count="1">
    <tableColumn id="1" xr3:uid="{00000000-0010-0000-0500-000001000000}" name="SkuUpdate"/>
  </tableColumns>
  <tableStyleInfo name="metaTableStyle" showFirstColumn="1" showLastColumn="1"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ductIdentifiers_productIdType" displayName="productIdentifiers_productIdType" ref="N22:N26">
  <tableColumns count="1">
    <tableColumn id="1" xr3:uid="{00000000-0010-0000-0600-000001000000}" name="productIdentifiers_productIdType"/>
  </tableColumns>
  <tableStyleInfo name="metaTableStyle" showFirstColumn="1" showLastColumn="1"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lectronicsIndicator" displayName="electronicsIndicator" ref="Q22:Q24">
  <tableColumns count="1">
    <tableColumn id="1" xr3:uid="{00000000-0010-0000-0700-000001000000}" name="electronicsIndicator"/>
  </tableColumns>
  <tableStyleInfo name="metaTableStyle" showFirstColumn="1" showLastColumn="1"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hipsInOriginalPackaging" displayName="shipsInOriginalPackaging" ref="R22:R24">
  <tableColumns count="1">
    <tableColumn id="1" xr3:uid="{00000000-0010-0000-0800-000001000000}" name="shipsInOriginalPackaging"/>
  </tableColumns>
  <tableStyleInfo name="metaTableStyle" showFirstColumn="1" showLastColumn="1"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tateRestrictions_stateRestrictionsText" displayName="stateRestrictions_stateRestrictionsText" ref="T22:T25">
  <tableColumns count="1">
    <tableColumn id="1" xr3:uid="{00000000-0010-0000-0900-000001000000}" name="stateRestrictions_stateRestrictionsText"/>
  </tableColumns>
  <tableStyleInfo name="metaTableStyle" showFirstColumn="1" showLastColumn="1"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chemicalAerosolPesticide" displayName="chemicalAerosolPesticide" ref="W22:W24">
  <tableColumns count="1">
    <tableColumn id="1" xr3:uid="{00000000-0010-0000-0A00-000001000000}" name="chemicalAerosolPesticide"/>
  </tableColumns>
  <tableStyleInfo name="metaTableStyle" showFirstColumn="1" showLastColumn="1"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tateRestrictions_states" displayName="stateRestrictions_states" ref="Y22:Y82">
  <tableColumns count="1">
    <tableColumn id="1" xr3:uid="{00000000-0010-0000-0B00-000001000000}" name="stateRestrictions_states"/>
  </tableColumns>
  <tableStyleInfo name="metaTableStyle" showFirstColumn="1" showLastColumn="1"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ternalProductIdentifier_externalProductIdType" displayName="externalProductIdentifier_externalProductIdType" ref="AG22:AG24">
  <tableColumns count="1">
    <tableColumn id="1" xr3:uid="{00000000-0010-0000-0C00-000001000000}" name="externalProductIdentifier_externalProductIdType"/>
  </tableColumns>
  <tableStyleInfo name="metaTableStyle" showFirstColumn="1" showLastColumn="1"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dUpdate" displayName="ProductIdUpdate" ref="AH22:AH24">
  <tableColumns count="1">
    <tableColumn id="1" xr3:uid="{00000000-0010-0000-0D00-000001000000}" name="ProductIdUpdate"/>
  </tableColumns>
  <tableStyleInfo name="metaTableStyle" showFirstColumn="1" showLastColumn="1"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inventory_fulfillmentCenterID" displayName="inventory_fulfillmentCenterID" ref="AI22:AI23">
  <tableColumns count="1">
    <tableColumn id="1" xr3:uid="{00000000-0010-0000-0E00-000001000000}" name="inventory_fulfillmentCenterID"/>
  </tableColumns>
  <tableStyleInfo name="metaTableStyle" showFirstColumn="1" showLastColumn="1"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_1" displayName="Table_1_1" ref="B1:AP3">
  <tableColumns count="41">
    <tableColumn id="1" xr3:uid="{00000000-0010-0000-0F00-000001000000}" name="country_of_origin_substantial_transformation"/>
    <tableColumn id="2" xr3:uid="{00000000-0010-0000-0F00-000002000000}" name="batteryTechnologyType"/>
    <tableColumn id="3" xr3:uid="{00000000-0010-0000-0F00-000003000000}" name="externalProductIdentifier_externalProductId"/>
    <tableColumn id="4" xr3:uid="{00000000-0010-0000-0F00-000004000000}" name="product_package_dimensions_and_weight_product_package_dimensions_width"/>
    <tableColumn id="5" xr3:uid="{00000000-0010-0000-0F00-000005000000}" name="endDate"/>
    <tableColumn id="6" xr3:uid="{00000000-0010-0000-0F00-000006000000}" name="externalProductIdentifier"/>
    <tableColumn id="7" xr3:uid="{00000000-0010-0000-0F00-000007000000}" name="IsPreorder"/>
    <tableColumn id="8" xr3:uid="{00000000-0010-0000-0F00-000008000000}" name="inventory"/>
    <tableColumn id="9" xr3:uid="{00000000-0010-0000-0F00-000009000000}" name="MustShipAlone"/>
    <tableColumn id="10" xr3:uid="{00000000-0010-0000-0F00-00000A000000}" name="stateRestrictions"/>
    <tableColumn id="11" xr3:uid="{00000000-0010-0000-0F00-00000B000000}" name="SkuUpdate"/>
    <tableColumn id="12" xr3:uid="{00000000-0010-0000-0F00-00000C000000}" name="automate_pricing"/>
    <tableColumn id="13" xr3:uid="{00000000-0010-0000-0F00-00000D000000}" name="productIdentifiers_productIdType"/>
    <tableColumn id="14" xr3:uid="{00000000-0010-0000-0F00-00000E000000}" name="productIdentifiers_productId"/>
    <tableColumn id="15" xr3:uid="{00000000-0010-0000-0F00-00000F000000}" name="productIdentifiers"/>
    <tableColumn id="16" xr3:uid="{00000000-0010-0000-0F00-000010000000}" name="electronicsIndicator"/>
    <tableColumn id="17" xr3:uid="{00000000-0010-0000-0F00-000011000000}" name="shipsInOriginalPackaging"/>
    <tableColumn id="18" xr3:uid="{00000000-0010-0000-0F00-000012000000}" name="price"/>
    <tableColumn id="19" xr3:uid="{00000000-0010-0000-0F00-000013000000}" name="stateRestrictions_stateRestrictionsText"/>
    <tableColumn id="20" xr3:uid="{00000000-0010-0000-0F00-000014000000}" name="msrp"/>
    <tableColumn id="21" xr3:uid="{00000000-0010-0000-0F00-000015000000}" name="product_package_dimensions_and_weight"/>
    <tableColumn id="22" xr3:uid="{00000000-0010-0000-0F00-000016000000}" name="chemicalAerosolPesticide"/>
    <tableColumn id="23" xr3:uid="{00000000-0010-0000-0F00-000017000000}" name="product_package_dimensions_and_weight_product_package_dimensions_depth"/>
    <tableColumn id="24" xr3:uid="{00000000-0010-0000-0F00-000018000000}" name="stateRestrictions_states"/>
    <tableColumn id="25" xr3:uid="{00000000-0010-0000-0F00-000019000000}" name="sku"/>
    <tableColumn id="26" xr3:uid="{00000000-0010-0000-0F00-00001A000000}" name="stateRestrictions_zipCodes"/>
    <tableColumn id="27" xr3:uid="{00000000-0010-0000-0F00-00001B000000}" name="inventory_quantity"/>
    <tableColumn id="28" xr3:uid="{00000000-0010-0000-0F00-00001C000000}" name="fulfillmentLagTime"/>
    <tableColumn id="29" xr3:uid="{00000000-0010-0000-0F00-00001D000000}" name="releaseDate"/>
    <tableColumn id="30" xr3:uid="{00000000-0010-0000-0F00-00001E000000}" name="inventory_inventoryAvailabilityDate"/>
    <tableColumn id="31" xr3:uid="{00000000-0010-0000-0F00-00001F000000}" name="specProductType"/>
    <tableColumn id="32" xr3:uid="{00000000-0010-0000-0F00-000020000000}" name="externalProductIdentifier_externalProductIdType"/>
    <tableColumn id="33" xr3:uid="{00000000-0010-0000-0F00-000021000000}" name="ProductIdUpdate"/>
    <tableColumn id="34" xr3:uid="{00000000-0010-0000-0F00-000022000000}" name="inventory_fulfillmentCenterID"/>
    <tableColumn id="35" xr3:uid="{00000000-0010-0000-0F00-000023000000}" name="product_package_dimensions_and_weight_product_package_dimensions_height"/>
    <tableColumn id="36" xr3:uid="{00000000-0010-0000-0F00-000024000000}" name="automate_pricing_minimumSellerAllowedPrice"/>
    <tableColumn id="37" xr3:uid="{00000000-0010-0000-0F00-000025000000}" name="product_package_dimensions_and_weight_product_package_weight"/>
    <tableColumn id="38" xr3:uid="{00000000-0010-0000-0F00-000026000000}" name="ShippingWeight"/>
    <tableColumn id="39" xr3:uid="{00000000-0010-0000-0F00-000027000000}" name="startDate"/>
    <tableColumn id="40" xr3:uid="{00000000-0010-0000-0F00-000028000000}" name="automate_pricing_maximumSellerAllowedPrice"/>
    <tableColumn id="41" xr3:uid="{00000000-0010-0000-0F00-000029000000}" name="automate_pricing_repricerStrategy"/>
  </tableColumns>
  <tableStyleInfo name="metaTableStyle" showFirstColumn="1" showLastColumn="1"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Bath_Appliques_assembledProductWeight_unit" displayName="Bath_Appliques_assembledProductWeight_unit" ref="AR22:AR24">
  <tableColumns count="1">
    <tableColumn id="1" xr3:uid="{00000000-0010-0000-1000-000001000000}" name="Bath_Appliques_assembledProductWeight_unit"/>
  </tableColumns>
  <tableStyleInfo name="metaTableStyle" showFirstColumn="1" showLastColumn="1"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Bath_Appliques_features" displayName="Bath_Appliques_features" ref="AU22:AU23">
  <tableColumns count="1">
    <tableColumn id="1" xr3:uid="{00000000-0010-0000-1100-000001000000}" name="Bath_Appliques_features"/>
  </tableColumns>
  <tableStyleInfo name="metaTableStyle" showFirstColumn="1" showLastColumn="1"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Bath_Appliques_isProp65WarningRequired" displayName="Bath_Appliques_isProp65WarningRequired" ref="AY22:AY24">
  <tableColumns count="1">
    <tableColumn id="1" xr3:uid="{00000000-0010-0000-1200-000001000000}" name="Bath_Appliques_isProp65WarningRequired"/>
  </tableColumns>
  <tableStyleInfo name="metaTableStyle" showFirstColumn="1" showLastColumn="1"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Bath_Appliques_variantAttributeNames" displayName="Bath_Appliques_variantAttributeNames" ref="BA22:BA32">
  <tableColumns count="1">
    <tableColumn id="1" xr3:uid="{00000000-0010-0000-1300-000001000000}" name="Bath_Appliques_variantAttributeNames"/>
  </tableColumns>
  <tableStyleInfo name="metaTableStyle" showFirstColumn="1" showLastColumn="1"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Bath_Appliques_assembledProductHeight_unit" displayName="Bath_Appliques_assembledProductHeight_unit" ref="BG22:BG24">
  <tableColumns count="1">
    <tableColumn id="1" xr3:uid="{00000000-0010-0000-1400-000001000000}" name="Bath_Appliques_assembledProductHeight_unit"/>
  </tableColumns>
  <tableStyleInfo name="metaTableStyle" showFirstColumn="1" showLastColumn="1"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Bath_Appliques_thirdPartyAccreditationSymbolOnProductPackageCode" displayName="Bath_Appliques_thirdPartyAccreditationSymbolOnProductPackageCode" ref="BO22:BO627">
  <tableColumns count="1">
    <tableColumn id="1" xr3:uid="{00000000-0010-0000-1500-000001000000}" name="Bath_Appliques_thirdPartyAccreditationSymbolOnProductPackageCode"/>
  </tableColumns>
  <tableStyleInfo name="metaTableStyle" showFirstColumn="1" showLastColumn="1"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Bath_Appliques_condition" displayName="Bath_Appliques_condition" ref="BQ22:BQ27">
  <tableColumns count="1">
    <tableColumn id="1" xr3:uid="{00000000-0010-0000-1600-000001000000}" name="Bath_Appliques_condition"/>
  </tableColumns>
  <tableStyleInfo name="metaTableStyle" showFirstColumn="1" showLastColumn="1"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Bath_Appliques_isPrimaryVariant" displayName="Bath_Appliques_isPrimaryVariant" ref="BT22:BT24">
  <tableColumns count="1">
    <tableColumn id="1" xr3:uid="{00000000-0010-0000-1700-000001000000}" name="Bath_Appliques_isPrimaryVariant"/>
  </tableColumns>
  <tableStyleInfo name="metaTableStyle" showFirstColumn="1" showLastColumn="1"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Bath_Appliques_colorCategory" displayName="Bath_Appliques_colorCategory" ref="CH22:CH40">
  <tableColumns count="1">
    <tableColumn id="1" xr3:uid="{00000000-0010-0000-1800-000001000000}" name="Bath_Appliques_colorCategory"/>
  </tableColumns>
  <tableStyleInfo name="metaTableStyle" showFirstColumn="1" showLastColumn="1"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Bath_Appliques_swatchImages_swatchVariantAttribute" displayName="Bath_Appliques_swatchImages_swatchVariantAttribute" ref="CJ22:CJ33">
  <tableColumns count="1">
    <tableColumn id="1" xr3:uid="{00000000-0010-0000-1900-000001000000}" name="Bath_Appliques_swatchImages_swatchVariantAttribute"/>
  </tableColumns>
  <tableStyleInfo name="metaTableStyle" showFirstColumn="1" showLastColumn="1"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Bath_Appliques_has_written_warranty" displayName="Bath_Appliques_has_written_warranty" ref="CL22:CL25">
  <tableColumns count="1">
    <tableColumn id="1" xr3:uid="{00000000-0010-0000-1A00-000001000000}" name="Bath_Appliques_has_written_warranty"/>
  </tableColumns>
  <tableStyleInfo name="metaTableStyle" showFirstColumn="1" showLastColumn="1"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Bath_Appliques_netContent_productNetContentUnit" displayName="Bath_Appliques_netContent_productNetContentUnit" ref="CM22:CM45">
  <tableColumns count="1">
    <tableColumn id="1" xr3:uid="{00000000-0010-0000-1B00-000001000000}" name="Bath_Appliques_netContent_productNetContentUnit"/>
  </tableColumns>
  <tableStyleInfo name="metaTableStyle" showFirstColumn="1" showLastColumn="1"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Bath_Appliques_certification_type" displayName="Bath_Appliques_certification_type" ref="CN22:CN26">
  <tableColumns count="1">
    <tableColumn id="1" xr3:uid="{00000000-0010-0000-1C00-000001000000}" name="Bath_Appliques_certification_type"/>
  </tableColumns>
  <tableStyleInfo name="metaTableStyle" showFirstColumn="1" showLastColumn="1"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Bath_Appliques_assembledProductWidth_unit" displayName="Bath_Appliques_assembledProductWidth_unit" ref="CQ22:CQ24">
  <tableColumns count="1">
    <tableColumn id="1" xr3:uid="{00000000-0010-0000-1D00-000001000000}" name="Bath_Appliques_assembledProductWidth_unit"/>
  </tableColumns>
  <tableStyleInfo name="metaTableStyle" showFirstColumn="1" showLastColumn="1"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Bath_Appliques_assembledProductLength_unit" displayName="Bath_Appliques_assembledProductLength_unit" ref="CW22:CW24">
  <tableColumns count="1">
    <tableColumn id="1" xr3:uid="{00000000-0010-0000-1E00-000001000000}" name="Bath_Appliques_assembledProductLength_unit"/>
  </tableColumns>
  <tableStyleInfo name="metaTableStyle" showFirstColumn="1" showLastColumn="1"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1_2" displayName="Table_1_2" ref="AQ1:CW3">
  <tableColumns count="59">
    <tableColumn id="1" xr3:uid="{00000000-0010-0000-1F00-000001000000}" name="Bath_Appliques_sportsLeague"/>
    <tableColumn id="2" xr3:uid="{00000000-0010-0000-1F00-000002000000}" name="Bath_Appliques_assembledProductWeight_unit"/>
    <tableColumn id="3" xr3:uid="{00000000-0010-0000-1F00-000003000000}" name="Bath_Appliques_productName"/>
    <tableColumn id="4" xr3:uid="{00000000-0010-0000-1F00-000004000000}" name="Bath_Appliques_productLine"/>
    <tableColumn id="5" xr3:uid="{00000000-0010-0000-1F00-000005000000}" name="Bath_Appliques_features"/>
    <tableColumn id="6" xr3:uid="{00000000-0010-0000-1F00-000006000000}" name="Bath_Appliques_pieceCount"/>
    <tableColumn id="7" xr3:uid="{00000000-0010-0000-1F00-000007000000}" name="Bath_Appliques_character"/>
    <tableColumn id="8" xr3:uid="{00000000-0010-0000-1F00-000008000000}" name="Bath_Appliques_multipackQuantity"/>
    <tableColumn id="9" xr3:uid="{00000000-0010-0000-1F00-000009000000}" name="Bath_Appliques_isProp65WarningRequired"/>
    <tableColumn id="10" xr3:uid="{00000000-0010-0000-1F00-00000A000000}" name="Bath_Appliques_netContent_productNetContentMeasure"/>
    <tableColumn id="11" xr3:uid="{00000000-0010-0000-1F00-00000B000000}" name="Bath_Appliques_variantAttributeNames"/>
    <tableColumn id="12" xr3:uid="{00000000-0010-0000-1F00-00000C000000}" name="Bath_Appliques_netContent"/>
    <tableColumn id="13" xr3:uid="{00000000-0010-0000-1F00-00000D000000}" name="Bath_Appliques_swatchImages"/>
    <tableColumn id="14" xr3:uid="{00000000-0010-0000-1F00-00000E000000}" name="Bath_Appliques_assembledProductWeight_measure"/>
    <tableColumn id="15" xr3:uid="{00000000-0010-0000-1F00-00000F000000}" name="Bath_Appliques_brand"/>
    <tableColumn id="16" xr3:uid="{00000000-0010-0000-1F00-000010000000}" name="Bath_Appliques_mainImageUrl"/>
    <tableColumn id="17" xr3:uid="{00000000-0010-0000-1F00-000011000000}" name="Bath_Appliques_assembledProductHeight_unit"/>
    <tableColumn id="18" xr3:uid="{00000000-0010-0000-1F00-000012000000}" name="Bath_Appliques_children_product_certificate_document_reference_id"/>
    <tableColumn id="19" xr3:uid="{00000000-0010-0000-1F00-000013000000}" name="Bath_Appliques_warrantyText"/>
    <tableColumn id="20" xr3:uid="{00000000-0010-0000-1F00-000014000000}" name="Bath_Appliques_shape"/>
    <tableColumn id="21" xr3:uid="{00000000-0010-0000-1F00-000015000000}" name="Bath_Appliques_assembledProductHeight"/>
    <tableColumn id="22" xr3:uid="{00000000-0010-0000-1F00-000016000000}" name="Bath_Appliques_general_certificate_of_conformity_document_reference_id"/>
    <tableColumn id="23" xr3:uid="{00000000-0010-0000-1F00-000017000000}" name="Bath_Appliques_count"/>
    <tableColumn id="24" xr3:uid="{00000000-0010-0000-1F00-000018000000}" name="Bath_Appliques_shortDescription"/>
    <tableColumn id="25" xr3:uid="{00000000-0010-0000-1F00-000019000000}" name="Bath_Appliques_thirdPartyAccreditationSymbolOnProductPackageCode"/>
    <tableColumn id="26" xr3:uid="{00000000-0010-0000-1F00-00001A000000}" name="Bath_Appliques_manufacturerPartNumber"/>
    <tableColumn id="27" xr3:uid="{00000000-0010-0000-1F00-00001B000000}" name="Bath_Appliques_condition"/>
    <tableColumn id="28" xr3:uid="{00000000-0010-0000-1F00-00001C000000}" name="Bath_Appliques_assembledProductLength"/>
    <tableColumn id="29" xr3:uid="{00000000-0010-0000-1F00-00001D000000}" name="Bath_Appliques_size"/>
    <tableColumn id="30" xr3:uid="{00000000-0010-0000-1F00-00001E000000}" name="Bath_Appliques_isPrimaryVariant"/>
    <tableColumn id="31" xr3:uid="{00000000-0010-0000-1F00-00001F000000}" name="Bath_Appliques_netContentStatement"/>
    <tableColumn id="32" xr3:uid="{00000000-0010-0000-1F00-000020000000}" name="Bath_Appliques_warrantyURL"/>
    <tableColumn id="33" xr3:uid="{00000000-0010-0000-1F00-000021000000}" name="Bath_Appliques_prop65WarningText"/>
    <tableColumn id="34" xr3:uid="{00000000-0010-0000-1F00-000022000000}" name="Bath_Appliques_occasion"/>
    <tableColumn id="35" xr3:uid="{00000000-0010-0000-1F00-000023000000}" name="Bath_Appliques_color"/>
    <tableColumn id="36" xr3:uid="{00000000-0010-0000-1F00-000024000000}" name="Bath_Appliques_swatchImages_swatchImageUrl"/>
    <tableColumn id="37" xr3:uid="{00000000-0010-0000-1F00-000025000000}" name="Bath_Appliques_pattern"/>
    <tableColumn id="38" xr3:uid="{00000000-0010-0000-1F00-000026000000}" name="Bath_Appliques_character_group"/>
    <tableColumn id="39" xr3:uid="{00000000-0010-0000-1F00-000027000000}" name="Bath_Appliques_assembledProductHeight_measure"/>
    <tableColumn id="40" xr3:uid="{00000000-0010-0000-1F00-000028000000}" name="Bath_Appliques_keyFeatures"/>
    <tableColumn id="41" xr3:uid="{00000000-0010-0000-1F00-000029000000}" name="Bath_Appliques_manufacturer"/>
    <tableColumn id="42" xr3:uid="{00000000-0010-0000-1F00-00002A000000}" name="Bath_Appliques_countPerPack"/>
    <tableColumn id="43" xr3:uid="{00000000-0010-0000-1F00-00002B000000}" name="Bath_Appliques_theme"/>
    <tableColumn id="44" xr3:uid="{00000000-0010-0000-1F00-00002C000000}" name="Bath_Appliques_colorCategory"/>
    <tableColumn id="45" xr3:uid="{00000000-0010-0000-1F00-00002D000000}" name="Bath_Appliques_assembledProductWidth_measure"/>
    <tableColumn id="46" xr3:uid="{00000000-0010-0000-1F00-00002E000000}" name="Bath_Appliques_swatchImages_swatchVariantAttribute"/>
    <tableColumn id="47" xr3:uid="{00000000-0010-0000-1F00-00002F000000}" name="Bath_Appliques_productSecondaryImageURL"/>
    <tableColumn id="48" xr3:uid="{00000000-0010-0000-1F00-000030000000}" name="Bath_Appliques_has_written_warranty"/>
    <tableColumn id="49" xr3:uid="{00000000-0010-0000-1F00-000031000000}" name="Bath_Appliques_netContent_productNetContentUnit"/>
    <tableColumn id="50" xr3:uid="{00000000-0010-0000-1F00-000032000000}" name="Bath_Appliques_certification_type"/>
    <tableColumn id="51" xr3:uid="{00000000-0010-0000-1F00-000033000000}" name="Bath_Appliques_assembledProductWeight"/>
    <tableColumn id="52" xr3:uid="{00000000-0010-0000-1F00-000034000000}" name="Bath_Appliques_assembledProductWidth"/>
    <tableColumn id="53" xr3:uid="{00000000-0010-0000-1F00-000035000000}" name="Bath_Appliques_assembledProductWidth_unit"/>
    <tableColumn id="54" xr3:uid="{00000000-0010-0000-1F00-000036000000}" name="Bath_Appliques_variantGroupId"/>
    <tableColumn id="55" xr3:uid="{00000000-0010-0000-1F00-000037000000}" name="Bath_Appliques_children_product_test_report_document_reference_id"/>
    <tableColumn id="56" xr3:uid="{00000000-0010-0000-1F00-000038000000}" name="Bath_Appliques_assembledProductLength_measure"/>
    <tableColumn id="57" xr3:uid="{00000000-0010-0000-1F00-000039000000}" name="Bath_Appliques_sportsTeam"/>
    <tableColumn id="58" xr3:uid="{00000000-0010-0000-1F00-00003A000000}" name="Bath_Appliques_modelNumber"/>
    <tableColumn id="59" xr3:uid="{00000000-0010-0000-1F00-00003B000000}" name="Bath_Appliques_assembledProductLength_unit"/>
  </tableColumns>
  <tableStyleInfo name="metaTableStyle" showFirstColumn="1" showLastColumn="1"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_Meta_1" displayName="T_Meta_1" ref="CY22:CZ24">
  <tableColumns count="2">
    <tableColumn id="1" xr3:uid="{00000000-0010-0000-2000-000001000000}" name="Product Type"/>
    <tableColumn id="2" xr3:uid="{00000000-0010-0000-2000-000002000000}" name="Table Info"/>
  </tableColumns>
  <tableStyleInfo name="metaTableStyle"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watchimageexample1.com/images/mens-classic-crew-tshirt.jpg" TargetMode="External"/><Relationship Id="rId2" Type="http://schemas.openxmlformats.org/officeDocument/2006/relationships/hyperlink" Target="https://secondaryimageexample.com/images/mens-classic-crew-tshirt-back.jpg" TargetMode="External"/><Relationship Id="rId1" Type="http://schemas.openxmlformats.org/officeDocument/2006/relationships/hyperlink" Target="https://marketplacelearn.walmart.com/guides/Item%20setup/Variant%20management/Product-variant-groups:-Overview"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swatchimageexample2.com/images/mens-classic-crew-tshirt.jpg" TargetMode="External"/></Relationships>
</file>

<file path=xl/worksheets/_rels/sheet3.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8"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O58"/>
  <sheetViews>
    <sheetView zoomScaleNormal="100" workbookViewId="0">
      <selection activeCell="F2" sqref="F2"/>
    </sheetView>
  </sheetViews>
  <sheetFormatPr defaultColWidth="38" defaultRowHeight="15" customHeight="1"/>
  <cols>
    <col min="1" max="1" width="58.375" style="4" customWidth="1" collapsed="1"/>
    <col min="2" max="2" width="45.5" style="1" customWidth="1" collapsed="1"/>
    <col min="3" max="3" width="51.375" style="1" customWidth="1" collapsed="1"/>
    <col min="4" max="4" width="47.625" style="1" hidden="1" customWidth="1" collapsed="1"/>
    <col min="5" max="5" width="41.5" style="1" customWidth="1" collapsed="1"/>
    <col min="6" max="6" width="38" style="1" customWidth="1" collapsed="1"/>
    <col min="7" max="7" width="38" style="1" collapsed="1"/>
    <col min="8" max="8" width="38" style="2" collapsed="1"/>
    <col min="9" max="9" width="48.875" style="2" customWidth="1" collapsed="1"/>
    <col min="10" max="10" width="44.875" style="1" customWidth="1" collapsed="1"/>
    <col min="11" max="12" width="38" style="1" collapsed="1"/>
    <col min="13" max="13" width="58.875" style="1" customWidth="1" collapsed="1"/>
    <col min="14" max="17" width="38" style="1" collapsed="1"/>
    <col min="18" max="18" width="42.125" style="1" customWidth="1" collapsed="1"/>
    <col min="19" max="19" width="38" style="1" collapsed="1"/>
    <col min="20" max="20" width="38" style="2" collapsed="1"/>
    <col min="21" max="21" width="38" style="1" collapsed="1"/>
    <col min="22" max="22" width="38" style="2" collapsed="1"/>
    <col min="23" max="30" width="38" style="1" collapsed="1"/>
    <col min="31" max="31" width="38" style="2" collapsed="1"/>
    <col min="32" max="37" width="38" style="1" collapsed="1"/>
    <col min="38" max="38" width="38" style="2" collapsed="1"/>
    <col min="39" max="39" width="38" style="1" collapsed="1"/>
    <col min="40" max="40" width="38" style="2" collapsed="1"/>
    <col min="41" max="67" width="38" style="1" collapsed="1"/>
    <col min="68" max="68" width="38" style="2" collapsed="1"/>
    <col min="69" max="82" width="38" style="1" collapsed="1"/>
    <col min="83" max="83" width="51.5" style="1" customWidth="1" collapsed="1"/>
    <col min="84" max="88" width="38" style="1" collapsed="1"/>
    <col min="89" max="89" width="45.125" style="1" customWidth="1" collapsed="1"/>
    <col min="90" max="100" width="38" style="1" collapsed="1"/>
    <col min="101" max="101" width="38" style="3" collapsed="1"/>
    <col min="102" max="106" width="38" style="1" collapsed="1"/>
    <col min="107" max="107" width="38" style="2" collapsed="1"/>
    <col min="108" max="16384" width="38" style="4" collapsed="1"/>
  </cols>
  <sheetData>
    <row r="1" spans="1:119" ht="21.6" customHeight="1" thickBot="1">
      <c r="A1" s="261" t="s">
        <v>0</v>
      </c>
      <c r="B1" s="262"/>
      <c r="C1" s="263"/>
      <c r="D1" s="22"/>
    </row>
    <row r="2" spans="1:119" ht="408.95" customHeight="1">
      <c r="A2" s="265" t="s">
        <v>315</v>
      </c>
      <c r="B2" s="266"/>
      <c r="C2" s="266"/>
      <c r="D2" s="267"/>
      <c r="E2" s="89"/>
    </row>
    <row r="3" spans="1:119" ht="14.25" customHeight="1">
      <c r="A3" s="5"/>
      <c r="B3" s="5"/>
      <c r="C3" s="5"/>
      <c r="D3" s="5"/>
      <c r="E3" s="6"/>
    </row>
    <row r="4" spans="1:119" ht="24" customHeight="1">
      <c r="A4" s="90" t="s">
        <v>1</v>
      </c>
      <c r="B4" s="91" t="s">
        <v>2</v>
      </c>
      <c r="C4" s="92" t="s">
        <v>3</v>
      </c>
      <c r="D4" s="5"/>
      <c r="F4" s="7"/>
      <c r="G4" s="7"/>
      <c r="H4" s="7"/>
      <c r="I4" s="7"/>
      <c r="J4" s="7"/>
      <c r="K4" s="7"/>
    </row>
    <row r="5" spans="1:119" s="13" customFormat="1" ht="18.75" customHeight="1">
      <c r="A5" s="8" t="s">
        <v>4</v>
      </c>
      <c r="B5" s="1" t="s">
        <v>5</v>
      </c>
      <c r="C5" s="1" t="s">
        <v>6</v>
      </c>
      <c r="D5" s="9"/>
      <c r="E5" s="9"/>
      <c r="F5" s="9"/>
      <c r="G5" s="10"/>
      <c r="H5" s="11"/>
      <c r="I5" s="11"/>
      <c r="J5" s="10"/>
      <c r="K5" s="10"/>
      <c r="L5" s="10"/>
      <c r="M5" s="10"/>
      <c r="N5" s="10"/>
      <c r="O5" s="10"/>
      <c r="P5" s="10"/>
      <c r="Q5" s="10"/>
      <c r="R5" s="10"/>
      <c r="S5" s="10"/>
      <c r="T5" s="11"/>
      <c r="U5" s="10"/>
      <c r="V5" s="11"/>
      <c r="W5" s="10"/>
      <c r="X5" s="10"/>
      <c r="Y5" s="10"/>
      <c r="Z5" s="10"/>
      <c r="AA5" s="10"/>
      <c r="AB5" s="10"/>
      <c r="AC5" s="10"/>
      <c r="AD5" s="10"/>
      <c r="AE5" s="11"/>
      <c r="AF5" s="10"/>
      <c r="AG5" s="10"/>
      <c r="AH5" s="10"/>
      <c r="AI5" s="10"/>
      <c r="AJ5" s="10"/>
      <c r="AK5" s="10"/>
      <c r="AL5" s="11"/>
      <c r="AM5" s="10"/>
      <c r="AN5" s="11"/>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1"/>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2"/>
      <c r="CX5" s="10"/>
      <c r="CY5" s="10"/>
      <c r="CZ5" s="10"/>
      <c r="DA5" s="10"/>
      <c r="DB5" s="10"/>
      <c r="DC5" s="11"/>
    </row>
    <row r="6" spans="1:119" s="13" customFormat="1" ht="18.75" customHeight="1">
      <c r="A6" s="14" t="s">
        <v>7</v>
      </c>
      <c r="B6" s="1" t="s">
        <v>8</v>
      </c>
      <c r="C6" s="1" t="s">
        <v>9</v>
      </c>
      <c r="E6" s="10"/>
      <c r="F6" s="10"/>
      <c r="G6" s="10"/>
      <c r="H6" s="11"/>
      <c r="I6" s="11"/>
      <c r="J6" s="10"/>
      <c r="K6" s="10"/>
      <c r="L6" s="10"/>
      <c r="M6" s="10"/>
      <c r="N6" s="10"/>
      <c r="O6" s="10"/>
      <c r="P6" s="10"/>
      <c r="Q6" s="10"/>
      <c r="R6" s="10"/>
      <c r="S6" s="10"/>
      <c r="T6" s="11"/>
      <c r="U6" s="10"/>
      <c r="V6" s="11"/>
      <c r="W6" s="10"/>
      <c r="X6" s="10"/>
      <c r="Y6" s="10"/>
      <c r="Z6" s="10"/>
      <c r="AA6" s="10"/>
      <c r="AB6" s="10"/>
      <c r="AC6" s="10"/>
      <c r="AD6" s="10"/>
      <c r="AE6" s="11"/>
      <c r="AF6" s="10"/>
      <c r="AG6" s="10"/>
      <c r="AH6" s="10"/>
      <c r="AI6" s="10"/>
      <c r="AJ6" s="10"/>
      <c r="AK6" s="10"/>
      <c r="AL6" s="11"/>
      <c r="AM6" s="10"/>
      <c r="AN6" s="11"/>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1"/>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2"/>
      <c r="CX6" s="10"/>
      <c r="CY6" s="10"/>
      <c r="CZ6" s="10"/>
      <c r="DA6" s="10"/>
      <c r="DB6" s="10"/>
      <c r="DC6" s="11"/>
    </row>
    <row r="7" spans="1:119" s="13" customFormat="1" ht="18.75" customHeight="1">
      <c r="A7" s="15" t="s">
        <v>10</v>
      </c>
      <c r="B7" s="1" t="s">
        <v>5</v>
      </c>
      <c r="C7" s="1" t="s">
        <v>6</v>
      </c>
      <c r="D7" s="10"/>
      <c r="E7" s="10"/>
      <c r="F7" s="10"/>
      <c r="G7" s="10"/>
      <c r="H7" s="11"/>
      <c r="I7" s="11"/>
      <c r="J7" s="10"/>
      <c r="K7" s="10"/>
      <c r="L7" s="10"/>
      <c r="M7" s="10"/>
      <c r="N7" s="10"/>
      <c r="O7" s="10"/>
      <c r="P7" s="10"/>
      <c r="Q7" s="10"/>
      <c r="R7" s="10"/>
      <c r="S7" s="10"/>
      <c r="T7" s="11"/>
      <c r="U7" s="10"/>
      <c r="V7" s="11"/>
      <c r="W7" s="10"/>
      <c r="X7" s="10"/>
      <c r="Y7" s="10"/>
      <c r="Z7" s="10"/>
      <c r="AA7" s="10"/>
      <c r="AB7" s="10"/>
      <c r="AC7" s="10"/>
      <c r="AD7" s="10"/>
      <c r="AE7" s="11"/>
      <c r="AF7" s="10"/>
      <c r="AG7" s="10"/>
      <c r="AH7" s="10"/>
      <c r="AI7" s="10"/>
      <c r="AJ7" s="10"/>
      <c r="AK7" s="10"/>
      <c r="AL7" s="11"/>
      <c r="AM7" s="10"/>
      <c r="AN7" s="11"/>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1"/>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2"/>
      <c r="CX7" s="10"/>
      <c r="CY7" s="10"/>
      <c r="CZ7" s="10"/>
      <c r="DA7" s="10"/>
      <c r="DB7" s="10"/>
      <c r="DC7" s="11"/>
    </row>
    <row r="8" spans="1:119" s="13" customFormat="1" ht="18.75" customHeight="1">
      <c r="A8" s="16" t="s">
        <v>11</v>
      </c>
      <c r="B8" s="1" t="s">
        <v>12</v>
      </c>
      <c r="C8" s="1" t="s">
        <v>13</v>
      </c>
      <c r="D8" s="10"/>
      <c r="E8" s="10"/>
      <c r="F8" s="10"/>
      <c r="G8" s="10"/>
      <c r="H8" s="11"/>
      <c r="I8" s="11"/>
      <c r="J8" s="10"/>
      <c r="K8" s="10"/>
      <c r="L8" s="10"/>
      <c r="M8" s="10"/>
      <c r="N8" s="10"/>
      <c r="O8" s="10"/>
      <c r="P8" s="10"/>
      <c r="Q8" s="10"/>
      <c r="R8" s="10"/>
      <c r="S8" s="10"/>
      <c r="T8" s="11"/>
      <c r="U8" s="10"/>
      <c r="V8" s="11"/>
      <c r="W8" s="10"/>
      <c r="X8" s="10"/>
      <c r="Y8" s="10"/>
      <c r="Z8" s="10"/>
      <c r="AA8" s="10"/>
      <c r="AB8" s="10"/>
      <c r="AC8" s="10"/>
      <c r="AD8" s="10"/>
      <c r="AE8" s="11"/>
      <c r="AF8" s="10"/>
      <c r="AG8" s="10"/>
      <c r="AH8" s="10"/>
      <c r="AI8" s="10"/>
      <c r="AJ8" s="10"/>
      <c r="AK8" s="10"/>
      <c r="AL8" s="11"/>
      <c r="AM8" s="10"/>
      <c r="AN8" s="11"/>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1"/>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2"/>
      <c r="CX8" s="10"/>
      <c r="CY8" s="10"/>
      <c r="CZ8" s="10"/>
      <c r="DA8" s="10"/>
      <c r="DB8" s="10"/>
      <c r="DC8" s="11"/>
    </row>
    <row r="9" spans="1:119" s="13" customFormat="1" ht="18.75" customHeight="1">
      <c r="A9" s="17" t="s">
        <v>14</v>
      </c>
      <c r="B9" s="1" t="s">
        <v>8</v>
      </c>
      <c r="C9" s="1" t="s">
        <v>15</v>
      </c>
      <c r="D9" s="1"/>
      <c r="E9" s="2"/>
      <c r="F9" s="1"/>
      <c r="G9" s="2"/>
      <c r="H9" s="1"/>
      <c r="I9" s="2"/>
      <c r="J9" s="1"/>
      <c r="K9" s="2"/>
      <c r="L9" s="1"/>
      <c r="M9" s="1"/>
      <c r="N9" s="1"/>
      <c r="O9" s="1"/>
      <c r="P9" s="1"/>
      <c r="Q9" s="1"/>
      <c r="R9" s="2"/>
      <c r="S9" s="1"/>
      <c r="T9" s="1"/>
      <c r="U9" s="1"/>
      <c r="V9" s="1"/>
      <c r="W9" s="1"/>
      <c r="X9" s="1"/>
      <c r="Y9" s="1"/>
      <c r="Z9" s="1"/>
      <c r="AA9" s="1"/>
      <c r="AB9" s="1"/>
      <c r="AC9" s="2"/>
      <c r="AD9" s="1"/>
      <c r="AE9" s="1"/>
      <c r="AF9" s="1"/>
      <c r="AG9" s="1"/>
      <c r="AH9" s="1"/>
      <c r="AI9" s="1"/>
      <c r="AJ9" s="1"/>
      <c r="AK9" s="1"/>
      <c r="AL9" s="1"/>
      <c r="AM9" s="1"/>
      <c r="AN9" s="1"/>
      <c r="AO9" s="1"/>
      <c r="AP9" s="1"/>
      <c r="AQ9" s="1"/>
      <c r="AR9" s="1"/>
      <c r="AS9" s="1"/>
      <c r="AT9" s="1"/>
      <c r="AU9" s="1"/>
      <c r="AV9" s="1"/>
      <c r="AW9" s="1"/>
      <c r="AX9" s="1"/>
      <c r="AY9" s="2"/>
      <c r="AZ9" s="1"/>
      <c r="BA9" s="1"/>
      <c r="BB9" s="1"/>
      <c r="BC9" s="1"/>
      <c r="BD9" s="1"/>
      <c r="BE9" s="10"/>
      <c r="BF9" s="10"/>
      <c r="BG9" s="10"/>
      <c r="BH9" s="10"/>
      <c r="BI9" s="10"/>
      <c r="BJ9" s="10"/>
      <c r="BK9" s="10"/>
      <c r="BL9" s="10"/>
      <c r="BM9" s="10"/>
      <c r="BN9" s="10"/>
      <c r="BO9" s="10"/>
      <c r="BP9" s="11"/>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2"/>
      <c r="CX9" s="10"/>
      <c r="CY9" s="10"/>
      <c r="CZ9" s="10"/>
      <c r="DA9" s="10"/>
      <c r="DB9" s="10"/>
      <c r="DC9" s="11"/>
    </row>
    <row r="10" spans="1:119" s="13" customFormat="1" ht="18.75" customHeight="1">
      <c r="A10" s="18" t="s">
        <v>16</v>
      </c>
      <c r="B10" s="1" t="s">
        <v>8</v>
      </c>
      <c r="C10" s="1" t="s">
        <v>17</v>
      </c>
      <c r="D10" s="1"/>
      <c r="E10" s="1"/>
      <c r="F10" s="1"/>
      <c r="G10" s="1"/>
      <c r="H10" s="11"/>
      <c r="I10" s="11"/>
      <c r="J10" s="10"/>
      <c r="K10" s="10"/>
      <c r="L10" s="10"/>
      <c r="M10" s="10"/>
      <c r="N10" s="10"/>
      <c r="O10" s="10"/>
      <c r="P10" s="10"/>
      <c r="Q10" s="10"/>
      <c r="R10" s="10"/>
      <c r="S10" s="10"/>
      <c r="T10" s="11"/>
      <c r="U10" s="10"/>
      <c r="V10" s="11"/>
      <c r="W10" s="10"/>
      <c r="X10" s="10"/>
      <c r="Y10" s="10"/>
      <c r="Z10" s="10"/>
      <c r="AA10" s="10"/>
      <c r="AB10" s="10"/>
      <c r="AC10" s="10"/>
      <c r="AD10" s="10"/>
      <c r="AE10" s="11"/>
      <c r="AF10" s="10"/>
      <c r="AG10" s="10"/>
      <c r="AH10" s="10"/>
      <c r="AI10" s="10"/>
      <c r="AJ10" s="10"/>
      <c r="AK10" s="10"/>
      <c r="AL10" s="11"/>
      <c r="AM10" s="10"/>
      <c r="AN10" s="11"/>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1"/>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2"/>
      <c r="CX10" s="10"/>
      <c r="CY10" s="10"/>
      <c r="CZ10" s="10"/>
      <c r="DA10" s="10"/>
      <c r="DB10" s="10"/>
      <c r="DC10" s="11"/>
    </row>
    <row r="11" spans="1:119" s="13" customFormat="1" ht="18.75" customHeight="1">
      <c r="A11" s="19" t="s">
        <v>8</v>
      </c>
      <c r="B11" s="1" t="s">
        <v>8</v>
      </c>
      <c r="C11" s="1"/>
      <c r="D11" s="1"/>
      <c r="E11" s="1"/>
      <c r="F11" s="1"/>
      <c r="G11" s="1"/>
      <c r="H11" s="1"/>
      <c r="I11" s="1"/>
      <c r="J11" s="1"/>
      <c r="K11" s="1"/>
      <c r="L11" s="3"/>
      <c r="M11" s="1"/>
      <c r="N11" s="1"/>
      <c r="O11" s="1"/>
      <c r="P11" s="1"/>
      <c r="Q11" s="1"/>
      <c r="R11" s="2"/>
      <c r="S11" s="10"/>
      <c r="T11" s="11"/>
      <c r="U11" s="10"/>
      <c r="V11" s="11"/>
      <c r="W11" s="10"/>
      <c r="X11" s="10"/>
      <c r="Y11" s="10"/>
      <c r="Z11" s="10"/>
      <c r="AA11" s="10"/>
      <c r="AB11" s="10"/>
      <c r="AC11" s="10"/>
      <c r="AD11" s="10"/>
      <c r="AE11" s="11"/>
      <c r="AF11" s="10"/>
      <c r="AG11" s="10"/>
      <c r="AH11" s="10"/>
      <c r="AI11" s="10"/>
      <c r="AJ11" s="10"/>
      <c r="AK11" s="10"/>
      <c r="AL11" s="11"/>
      <c r="AM11" s="10"/>
      <c r="AN11" s="11"/>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1"/>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2"/>
      <c r="CX11" s="10"/>
      <c r="CY11" s="10"/>
      <c r="CZ11" s="10"/>
      <c r="DA11" s="10"/>
      <c r="DB11" s="10"/>
      <c r="DC11" s="11"/>
    </row>
    <row r="12" spans="1:119" s="13" customFormat="1" ht="18.75" customHeight="1">
      <c r="A12" s="20" t="s">
        <v>18</v>
      </c>
      <c r="B12" s="1"/>
      <c r="C12" s="1"/>
      <c r="D12" s="1"/>
      <c r="E12" s="1"/>
      <c r="F12" s="1"/>
      <c r="G12" s="1"/>
      <c r="H12" s="1"/>
      <c r="I12" s="1"/>
      <c r="J12" s="1"/>
      <c r="K12" s="1"/>
      <c r="L12" s="3"/>
      <c r="M12" s="1"/>
      <c r="N12" s="1"/>
      <c r="O12" s="1"/>
      <c r="P12" s="1"/>
      <c r="Q12" s="1"/>
      <c r="R12" s="2"/>
      <c r="S12" s="10"/>
      <c r="T12" s="11"/>
      <c r="U12" s="10"/>
      <c r="V12" s="11"/>
      <c r="W12" s="10"/>
      <c r="X12" s="10"/>
      <c r="Y12" s="10"/>
      <c r="Z12" s="10"/>
      <c r="AA12" s="10"/>
      <c r="AB12" s="10"/>
      <c r="AC12" s="10"/>
      <c r="AD12" s="10"/>
      <c r="AE12" s="11"/>
      <c r="AF12" s="10"/>
      <c r="AG12" s="10"/>
      <c r="AH12" s="10"/>
      <c r="AI12" s="10"/>
      <c r="AJ12" s="10"/>
      <c r="AK12" s="10"/>
      <c r="AL12" s="11"/>
      <c r="AM12" s="10"/>
      <c r="AN12" s="11"/>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1"/>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2"/>
      <c r="CX12" s="10"/>
      <c r="CY12" s="10"/>
      <c r="CZ12" s="10"/>
      <c r="DA12" s="10"/>
      <c r="DB12" s="10"/>
      <c r="DC12" s="11"/>
    </row>
    <row r="13" spans="1:119" s="13" customFormat="1" ht="18.75" customHeight="1" thickBot="1">
      <c r="A13" s="21"/>
      <c r="B13" s="1"/>
      <c r="C13" s="1"/>
      <c r="D13" s="1"/>
      <c r="E13" s="1"/>
      <c r="F13" s="1"/>
      <c r="G13" s="1"/>
      <c r="H13" s="1"/>
      <c r="I13" s="1"/>
      <c r="J13" s="1"/>
      <c r="K13" s="1"/>
      <c r="L13" s="3"/>
      <c r="M13" s="1"/>
      <c r="N13" s="1"/>
      <c r="O13" s="1"/>
      <c r="P13" s="1"/>
      <c r="Q13" s="1"/>
      <c r="R13" s="2"/>
      <c r="S13" s="10"/>
      <c r="T13" s="11"/>
      <c r="U13" s="10"/>
      <c r="V13" s="11"/>
      <c r="W13" s="10"/>
      <c r="X13" s="10"/>
      <c r="Y13" s="10"/>
      <c r="Z13" s="10"/>
      <c r="AA13" s="10"/>
      <c r="AB13" s="10"/>
      <c r="AC13" s="10"/>
      <c r="AD13" s="10"/>
      <c r="AE13" s="11"/>
      <c r="AF13" s="10"/>
      <c r="AG13" s="10"/>
      <c r="AH13" s="10"/>
      <c r="AI13" s="10"/>
      <c r="AJ13" s="10"/>
      <c r="AK13" s="10"/>
      <c r="AL13" s="11"/>
      <c r="AM13" s="10"/>
      <c r="AN13" s="11"/>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1"/>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2"/>
      <c r="CX13" s="10"/>
      <c r="CY13" s="10"/>
      <c r="CZ13" s="10"/>
      <c r="DA13" s="10"/>
      <c r="DB13" s="10"/>
      <c r="DC13" s="11"/>
    </row>
    <row r="14" spans="1:119" s="26" customFormat="1" ht="21" thickBot="1">
      <c r="A14" s="261" t="s">
        <v>19</v>
      </c>
      <c r="B14" s="262"/>
      <c r="C14" s="263"/>
      <c r="D14" s="23"/>
      <c r="E14" s="23"/>
      <c r="F14" s="23"/>
      <c r="G14" s="23"/>
      <c r="H14" s="24"/>
      <c r="I14" s="24"/>
      <c r="J14" s="23"/>
      <c r="K14" s="23"/>
      <c r="L14" s="23"/>
      <c r="M14" s="23"/>
      <c r="N14" s="23"/>
      <c r="O14" s="23"/>
      <c r="P14" s="23"/>
      <c r="Q14" s="23"/>
      <c r="R14" s="23"/>
      <c r="S14" s="23"/>
      <c r="T14" s="24"/>
      <c r="U14" s="23"/>
      <c r="V14" s="24"/>
      <c r="W14" s="23"/>
      <c r="X14" s="23"/>
      <c r="Y14" s="23"/>
      <c r="Z14" s="23"/>
      <c r="AA14" s="23"/>
      <c r="AB14" s="23"/>
      <c r="AC14" s="23"/>
      <c r="AD14" s="23"/>
      <c r="AE14" s="24"/>
      <c r="AF14" s="23"/>
      <c r="AG14" s="23"/>
      <c r="AH14" s="23"/>
      <c r="AI14" s="23"/>
      <c r="AJ14" s="23"/>
      <c r="AK14" s="23"/>
      <c r="AL14" s="24"/>
      <c r="AM14" s="23"/>
      <c r="AN14" s="24"/>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4"/>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5"/>
      <c r="CX14" s="23"/>
      <c r="CY14" s="23"/>
      <c r="CZ14" s="23"/>
      <c r="DA14" s="23"/>
      <c r="DB14" s="23"/>
      <c r="DC14" s="24"/>
    </row>
    <row r="15" spans="1:119" s="26" customFormat="1" ht="20.25">
      <c r="A15" s="27"/>
      <c r="B15" s="27"/>
      <c r="C15" s="27"/>
      <c r="D15" s="23"/>
      <c r="E15" s="23"/>
      <c r="F15" s="23"/>
      <c r="G15" s="23"/>
      <c r="H15" s="24"/>
      <c r="I15" s="24"/>
      <c r="J15" s="23"/>
      <c r="K15" s="23"/>
      <c r="L15" s="23"/>
      <c r="M15" s="23"/>
      <c r="N15" s="23"/>
      <c r="O15" s="23"/>
      <c r="P15" s="23"/>
      <c r="Q15" s="23"/>
      <c r="R15" s="23"/>
      <c r="S15" s="23"/>
      <c r="T15" s="24"/>
      <c r="U15" s="23"/>
      <c r="V15" s="24"/>
      <c r="W15" s="23"/>
      <c r="X15" s="23"/>
      <c r="Y15" s="23"/>
      <c r="Z15" s="23"/>
      <c r="AA15" s="23"/>
      <c r="AB15" s="23"/>
      <c r="AC15" s="23"/>
      <c r="AD15" s="23"/>
      <c r="AE15" s="24"/>
      <c r="AF15" s="23"/>
      <c r="AG15" s="23"/>
      <c r="AH15" s="23"/>
      <c r="AI15" s="23"/>
      <c r="AJ15" s="23"/>
      <c r="AK15" s="23"/>
      <c r="AL15" s="24"/>
      <c r="AM15" s="23"/>
      <c r="AN15" s="24"/>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4"/>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5"/>
      <c r="CX15" s="23"/>
      <c r="CY15" s="23"/>
      <c r="CZ15" s="23"/>
      <c r="DA15" s="23"/>
      <c r="DB15" s="23"/>
      <c r="DC15" s="24"/>
    </row>
    <row r="16" spans="1:119" s="28" customFormat="1" ht="20.25" customHeight="1">
      <c r="A16" s="242" t="s">
        <v>319</v>
      </c>
      <c r="B16" s="243"/>
      <c r="C16" s="243"/>
      <c r="D16" s="243"/>
      <c r="E16" s="243"/>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O16" s="244"/>
    </row>
    <row r="17" spans="1:119" s="26" customFormat="1" ht="30" customHeight="1">
      <c r="A17" s="245" t="s">
        <v>312</v>
      </c>
      <c r="B17" s="268" t="s">
        <v>20</v>
      </c>
      <c r="C17" s="268" t="s">
        <v>21</v>
      </c>
      <c r="D17" s="248" t="s">
        <v>4</v>
      </c>
      <c r="E17" s="237"/>
      <c r="F17" s="237"/>
      <c r="G17" s="237"/>
      <c r="H17" s="249"/>
      <c r="I17" s="249"/>
      <c r="J17" s="237"/>
      <c r="K17" s="250" t="s">
        <v>7</v>
      </c>
      <c r="L17" s="237"/>
      <c r="M17" s="237"/>
      <c r="N17" s="251" t="s">
        <v>10</v>
      </c>
      <c r="O17" s="237"/>
      <c r="P17" s="237"/>
      <c r="Q17" s="237"/>
      <c r="R17" s="237"/>
      <c r="S17" s="237"/>
      <c r="T17" s="237"/>
      <c r="U17" s="237"/>
      <c r="V17" s="237"/>
      <c r="W17" s="237"/>
      <c r="X17" s="237"/>
      <c r="Y17" s="237"/>
      <c r="Z17" s="237"/>
      <c r="AA17" s="237"/>
      <c r="AB17" s="237"/>
      <c r="AC17" s="237"/>
      <c r="AD17" s="237"/>
      <c r="AE17" s="237"/>
      <c r="AF17" s="237"/>
      <c r="AG17" s="249"/>
      <c r="AH17" s="237"/>
      <c r="AI17" s="237"/>
      <c r="AJ17" s="237"/>
      <c r="AK17" s="237"/>
      <c r="AL17" s="249"/>
      <c r="AM17" s="237"/>
      <c r="AN17" s="237"/>
      <c r="AO17" s="237"/>
      <c r="AP17" s="252" t="s">
        <v>14</v>
      </c>
      <c r="AQ17" s="237"/>
      <c r="AR17" s="249"/>
      <c r="AS17" s="237"/>
      <c r="AT17" s="249"/>
      <c r="AU17" s="237"/>
      <c r="AV17" s="249"/>
      <c r="AW17" s="237"/>
      <c r="AX17" s="249"/>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49"/>
      <c r="CG17" s="237"/>
      <c r="CH17" s="237"/>
      <c r="CI17" s="237"/>
      <c r="CJ17" s="237"/>
      <c r="CK17" s="237"/>
      <c r="CL17" s="237"/>
      <c r="CM17" s="237"/>
      <c r="CN17" s="237"/>
      <c r="CO17" s="237"/>
      <c r="CP17" s="236" t="s">
        <v>16</v>
      </c>
      <c r="CQ17" s="237"/>
      <c r="CR17" s="237"/>
      <c r="CS17" s="237"/>
      <c r="CT17" s="237"/>
      <c r="CU17" s="253" t="s">
        <v>8</v>
      </c>
      <c r="CV17" s="237"/>
      <c r="CW17" s="237"/>
      <c r="CX17" s="237"/>
      <c r="CY17" s="237"/>
      <c r="CZ17" s="237"/>
      <c r="DA17" s="237"/>
      <c r="DB17" s="237"/>
      <c r="DC17" s="237"/>
      <c r="DD17" s="237"/>
      <c r="DE17" s="237"/>
      <c r="DF17" s="254"/>
      <c r="DG17" s="237"/>
      <c r="DH17" s="237"/>
      <c r="DI17" s="237"/>
      <c r="DJ17" s="237"/>
      <c r="DK17" s="237"/>
      <c r="DL17" s="249"/>
      <c r="DM17" s="249"/>
      <c r="DN17" s="249"/>
      <c r="DO17" s="238"/>
    </row>
    <row r="18" spans="1:119" s="26" customFormat="1" ht="21" customHeight="1">
      <c r="A18" s="246"/>
      <c r="B18" s="240"/>
      <c r="C18" s="240"/>
      <c r="D18" s="270" t="s">
        <v>22</v>
      </c>
      <c r="E18" s="270"/>
      <c r="F18" s="53"/>
      <c r="G18" s="53"/>
      <c r="H18" s="53"/>
      <c r="I18" s="53"/>
      <c r="J18" s="53"/>
      <c r="K18" s="255" t="s">
        <v>23</v>
      </c>
      <c r="L18" s="256"/>
      <c r="M18" s="255"/>
      <c r="N18" s="54"/>
      <c r="O18" s="54"/>
      <c r="P18" s="54"/>
      <c r="Q18" s="54"/>
      <c r="R18" s="54"/>
      <c r="S18" s="54"/>
      <c r="T18" s="54"/>
      <c r="U18" s="54"/>
      <c r="V18" s="54"/>
      <c r="W18" s="54"/>
      <c r="X18" s="54"/>
      <c r="Y18" s="54"/>
      <c r="Z18" s="54"/>
      <c r="AA18" s="54"/>
      <c r="AB18" s="54"/>
      <c r="AC18" s="54"/>
      <c r="AD18" s="54"/>
      <c r="AE18" s="54"/>
      <c r="AF18" s="54"/>
      <c r="AG18" s="257" t="s">
        <v>181</v>
      </c>
      <c r="AH18" s="257"/>
      <c r="AI18" s="54"/>
      <c r="AJ18" s="54"/>
      <c r="AK18" s="257" t="s">
        <v>24</v>
      </c>
      <c r="AL18" s="257"/>
      <c r="AM18" s="54"/>
      <c r="AN18" s="54"/>
      <c r="AO18" s="54"/>
      <c r="AP18" s="55"/>
      <c r="AQ18" s="55"/>
      <c r="AR18" s="258" t="s">
        <v>25</v>
      </c>
      <c r="AS18" s="258"/>
      <c r="AT18" s="258" t="s">
        <v>26</v>
      </c>
      <c r="AU18" s="258"/>
      <c r="AV18" s="258" t="s">
        <v>27</v>
      </c>
      <c r="AW18" s="258"/>
      <c r="AX18" s="258" t="s">
        <v>28</v>
      </c>
      <c r="AY18" s="258"/>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258" t="s">
        <v>182</v>
      </c>
      <c r="CF18" s="258"/>
      <c r="CG18" s="55"/>
      <c r="CH18" s="55"/>
      <c r="CI18" s="55"/>
      <c r="CJ18" s="55"/>
      <c r="CK18" s="55"/>
      <c r="CL18" s="55"/>
      <c r="CM18" s="55"/>
      <c r="CN18" s="55"/>
      <c r="CO18" s="55"/>
      <c r="CP18" s="56"/>
      <c r="CQ18" s="56"/>
      <c r="CR18" s="56"/>
      <c r="CS18" s="264" t="s">
        <v>29</v>
      </c>
      <c r="CT18" s="264"/>
      <c r="CU18" s="239" t="s">
        <v>30</v>
      </c>
      <c r="CV18" s="240"/>
      <c r="CW18" s="239"/>
      <c r="CX18" s="52"/>
      <c r="CY18" s="52"/>
      <c r="CZ18" s="52"/>
      <c r="DA18" s="52"/>
      <c r="DB18" s="52"/>
      <c r="DC18" s="52"/>
      <c r="DD18" s="52"/>
      <c r="DE18" s="52"/>
      <c r="DF18" s="52"/>
      <c r="DG18" s="52"/>
      <c r="DH18" s="239" t="s">
        <v>31</v>
      </c>
      <c r="DI18" s="239"/>
      <c r="DJ18" s="52"/>
      <c r="DK18" s="52"/>
      <c r="DL18" s="52"/>
      <c r="DM18" s="239" t="s">
        <v>183</v>
      </c>
      <c r="DN18" s="240"/>
      <c r="DO18" s="241"/>
    </row>
    <row r="19" spans="1:119" s="26" customFormat="1" ht="24" customHeight="1">
      <c r="A19" s="246"/>
      <c r="B19" s="269" t="s">
        <v>20</v>
      </c>
      <c r="C19" s="269" t="s">
        <v>21</v>
      </c>
      <c r="D19" s="57" t="s">
        <v>32</v>
      </c>
      <c r="E19" s="57" t="s">
        <v>33</v>
      </c>
      <c r="F19" s="57" t="s">
        <v>34</v>
      </c>
      <c r="G19" s="57" t="s">
        <v>35</v>
      </c>
      <c r="H19" s="57" t="s">
        <v>36</v>
      </c>
      <c r="I19" s="57" t="s">
        <v>37</v>
      </c>
      <c r="J19" s="57" t="s">
        <v>184</v>
      </c>
      <c r="K19" s="57" t="s">
        <v>38</v>
      </c>
      <c r="L19" s="57" t="s">
        <v>39</v>
      </c>
      <c r="M19" s="57" t="s">
        <v>40</v>
      </c>
      <c r="N19" s="57" t="s">
        <v>41</v>
      </c>
      <c r="O19" s="57" t="s">
        <v>42</v>
      </c>
      <c r="P19" s="57" t="s">
        <v>43</v>
      </c>
      <c r="Q19" s="57" t="s">
        <v>44</v>
      </c>
      <c r="R19" s="57" t="s">
        <v>45</v>
      </c>
      <c r="S19" s="57" t="s">
        <v>58</v>
      </c>
      <c r="T19" s="57" t="s">
        <v>70</v>
      </c>
      <c r="U19" s="57" t="s">
        <v>62</v>
      </c>
      <c r="V19" s="57" t="s">
        <v>46</v>
      </c>
      <c r="W19" s="57" t="s">
        <v>53</v>
      </c>
      <c r="X19" s="57" t="s">
        <v>185</v>
      </c>
      <c r="Y19" s="57" t="s">
        <v>186</v>
      </c>
      <c r="Z19" s="57" t="s">
        <v>187</v>
      </c>
      <c r="AA19" s="57" t="s">
        <v>188</v>
      </c>
      <c r="AB19" s="57" t="s">
        <v>189</v>
      </c>
      <c r="AC19" s="57" t="s">
        <v>56</v>
      </c>
      <c r="AD19" s="57" t="s">
        <v>57</v>
      </c>
      <c r="AE19" s="57" t="s">
        <v>47</v>
      </c>
      <c r="AF19" s="57" t="s">
        <v>190</v>
      </c>
      <c r="AG19" s="57" t="s">
        <v>191</v>
      </c>
      <c r="AH19" s="57" t="s">
        <v>192</v>
      </c>
      <c r="AI19" s="57" t="s">
        <v>48</v>
      </c>
      <c r="AJ19" s="57" t="s">
        <v>49</v>
      </c>
      <c r="AK19" s="57" t="s">
        <v>50</v>
      </c>
      <c r="AL19" s="57" t="s">
        <v>51</v>
      </c>
      <c r="AM19" s="57" t="s">
        <v>193</v>
      </c>
      <c r="AN19" s="57" t="s">
        <v>194</v>
      </c>
      <c r="AO19" s="57" t="s">
        <v>195</v>
      </c>
      <c r="AP19" s="57" t="s">
        <v>196</v>
      </c>
      <c r="AQ19" s="57" t="s">
        <v>52</v>
      </c>
      <c r="AR19" s="57" t="s">
        <v>51</v>
      </c>
      <c r="AS19" s="57" t="s">
        <v>50</v>
      </c>
      <c r="AT19" s="57" t="s">
        <v>51</v>
      </c>
      <c r="AU19" s="57" t="s">
        <v>50</v>
      </c>
      <c r="AV19" s="57" t="s">
        <v>51</v>
      </c>
      <c r="AW19" s="57" t="s">
        <v>50</v>
      </c>
      <c r="AX19" s="57" t="s">
        <v>51</v>
      </c>
      <c r="AY19" s="57" t="s">
        <v>50</v>
      </c>
      <c r="AZ19" s="57" t="s">
        <v>54</v>
      </c>
      <c r="BA19" s="57" t="s">
        <v>55</v>
      </c>
      <c r="BB19" s="57" t="s">
        <v>197</v>
      </c>
      <c r="BC19" s="57" t="s">
        <v>198</v>
      </c>
      <c r="BD19" s="57" t="s">
        <v>199</v>
      </c>
      <c r="BE19" s="57" t="s">
        <v>200</v>
      </c>
      <c r="BF19" s="57" t="s">
        <v>201</v>
      </c>
      <c r="BG19" s="57" t="s">
        <v>202</v>
      </c>
      <c r="BH19" s="57" t="s">
        <v>203</v>
      </c>
      <c r="BI19" s="57" t="s">
        <v>204</v>
      </c>
      <c r="BJ19" s="57" t="s">
        <v>205</v>
      </c>
      <c r="BK19" s="57" t="s">
        <v>206</v>
      </c>
      <c r="BL19" s="57" t="s">
        <v>207</v>
      </c>
      <c r="BM19" s="57" t="s">
        <v>208</v>
      </c>
      <c r="BN19" s="57" t="s">
        <v>209</v>
      </c>
      <c r="BO19" s="57" t="s">
        <v>210</v>
      </c>
      <c r="BP19" s="57" t="s">
        <v>59</v>
      </c>
      <c r="BQ19" s="57" t="s">
        <v>60</v>
      </c>
      <c r="BR19" s="57" t="s">
        <v>211</v>
      </c>
      <c r="BS19" s="57" t="s">
        <v>212</v>
      </c>
      <c r="BT19" s="57" t="s">
        <v>61</v>
      </c>
      <c r="BU19" s="57" t="s">
        <v>63</v>
      </c>
      <c r="BV19" s="57" t="s">
        <v>64</v>
      </c>
      <c r="BW19" s="57" t="s">
        <v>213</v>
      </c>
      <c r="BX19" s="57" t="s">
        <v>214</v>
      </c>
      <c r="BY19" s="57" t="s">
        <v>215</v>
      </c>
      <c r="BZ19" s="57" t="s">
        <v>216</v>
      </c>
      <c r="CA19" s="57" t="s">
        <v>217</v>
      </c>
      <c r="CB19" s="57" t="s">
        <v>218</v>
      </c>
      <c r="CC19" s="57" t="s">
        <v>219</v>
      </c>
      <c r="CD19" s="57" t="s">
        <v>65</v>
      </c>
      <c r="CE19" s="57" t="s">
        <v>220</v>
      </c>
      <c r="CF19" s="57" t="s">
        <v>221</v>
      </c>
      <c r="CG19" s="57" t="s">
        <v>66</v>
      </c>
      <c r="CH19" s="57" t="s">
        <v>222</v>
      </c>
      <c r="CI19" s="57" t="s">
        <v>67</v>
      </c>
      <c r="CJ19" s="57" t="s">
        <v>68</v>
      </c>
      <c r="CK19" s="57" t="s">
        <v>223</v>
      </c>
      <c r="CL19" s="57" t="s">
        <v>224</v>
      </c>
      <c r="CM19" s="57" t="s">
        <v>69</v>
      </c>
      <c r="CN19" s="57" t="s">
        <v>71</v>
      </c>
      <c r="CO19" s="57" t="s">
        <v>72</v>
      </c>
      <c r="CP19" s="57" t="s">
        <v>73</v>
      </c>
      <c r="CQ19" s="57" t="s">
        <v>74</v>
      </c>
      <c r="CR19" s="57" t="s">
        <v>75</v>
      </c>
      <c r="CS19" s="57" t="s">
        <v>76</v>
      </c>
      <c r="CT19" s="57" t="s">
        <v>77</v>
      </c>
      <c r="CU19" s="57" t="s">
        <v>78</v>
      </c>
      <c r="CV19" s="57" t="s">
        <v>79</v>
      </c>
      <c r="CW19" s="57" t="s">
        <v>80</v>
      </c>
      <c r="CX19" s="57" t="s">
        <v>81</v>
      </c>
      <c r="CY19" s="57" t="s">
        <v>82</v>
      </c>
      <c r="CZ19" s="57" t="s">
        <v>83</v>
      </c>
      <c r="DA19" s="57" t="s">
        <v>84</v>
      </c>
      <c r="DB19" s="57" t="s">
        <v>85</v>
      </c>
      <c r="DC19" s="57" t="s">
        <v>86</v>
      </c>
      <c r="DD19" s="57" t="s">
        <v>87</v>
      </c>
      <c r="DE19" s="57" t="s">
        <v>88</v>
      </c>
      <c r="DF19" s="57" t="s">
        <v>89</v>
      </c>
      <c r="DG19" s="57" t="s">
        <v>90</v>
      </c>
      <c r="DH19" s="57" t="s">
        <v>91</v>
      </c>
      <c r="DI19" s="57" t="s">
        <v>92</v>
      </c>
      <c r="DJ19" s="57" t="s">
        <v>93</v>
      </c>
      <c r="DK19" s="57" t="s">
        <v>94</v>
      </c>
      <c r="DL19" s="57" t="s">
        <v>95</v>
      </c>
      <c r="DM19" s="57" t="s">
        <v>225</v>
      </c>
      <c r="DN19" s="57" t="s">
        <v>226</v>
      </c>
      <c r="DO19" s="58" t="s">
        <v>227</v>
      </c>
    </row>
    <row r="20" spans="1:119" s="26" customFormat="1" ht="20.100000000000001" customHeight="1">
      <c r="A20" s="246"/>
      <c r="B20" s="59" t="s">
        <v>96</v>
      </c>
      <c r="C20" s="59" t="s">
        <v>97</v>
      </c>
      <c r="D20" s="59" t="s">
        <v>98</v>
      </c>
      <c r="E20" s="59" t="s">
        <v>99</v>
      </c>
      <c r="F20" s="59" t="s">
        <v>228</v>
      </c>
      <c r="G20" s="59" t="s">
        <v>229</v>
      </c>
      <c r="H20" s="59" t="s">
        <v>100</v>
      </c>
      <c r="I20" s="59" t="s">
        <v>101</v>
      </c>
      <c r="J20" s="59" t="s">
        <v>230</v>
      </c>
      <c r="K20" s="59" t="s">
        <v>102</v>
      </c>
      <c r="L20" s="59" t="s">
        <v>103</v>
      </c>
      <c r="M20" s="59" t="s">
        <v>104</v>
      </c>
      <c r="N20" s="59" t="s">
        <v>231</v>
      </c>
      <c r="O20" s="59" t="s">
        <v>232</v>
      </c>
      <c r="P20" s="59" t="s">
        <v>232</v>
      </c>
      <c r="Q20" s="59" t="s">
        <v>232</v>
      </c>
      <c r="R20" s="59" t="s">
        <v>105</v>
      </c>
      <c r="S20" s="59" t="s">
        <v>124</v>
      </c>
      <c r="T20" s="59" t="s">
        <v>133</v>
      </c>
      <c r="U20" s="59" t="s">
        <v>126</v>
      </c>
      <c r="V20" s="59" t="s">
        <v>106</v>
      </c>
      <c r="W20" s="59" t="s">
        <v>113</v>
      </c>
      <c r="X20" s="59" t="s">
        <v>233</v>
      </c>
      <c r="Y20" s="59" t="s">
        <v>234</v>
      </c>
      <c r="Z20" s="59" t="s">
        <v>235</v>
      </c>
      <c r="AA20" s="59" t="s">
        <v>236</v>
      </c>
      <c r="AB20" s="59" t="s">
        <v>237</v>
      </c>
      <c r="AC20" s="59" t="s">
        <v>238</v>
      </c>
      <c r="AD20" s="59" t="s">
        <v>123</v>
      </c>
      <c r="AE20" s="59" t="s">
        <v>107</v>
      </c>
      <c r="AF20" s="59" t="s">
        <v>239</v>
      </c>
      <c r="AG20" s="59" t="s">
        <v>240</v>
      </c>
      <c r="AH20" s="59" t="s">
        <v>241</v>
      </c>
      <c r="AI20" s="59" t="s">
        <v>108</v>
      </c>
      <c r="AJ20" s="59" t="s">
        <v>109</v>
      </c>
      <c r="AK20" s="59" t="s">
        <v>110</v>
      </c>
      <c r="AL20" s="59" t="s">
        <v>111</v>
      </c>
      <c r="AM20" s="59" t="s">
        <v>242</v>
      </c>
      <c r="AN20" s="59" t="s">
        <v>243</v>
      </c>
      <c r="AO20" s="59" t="s">
        <v>244</v>
      </c>
      <c r="AP20" s="59" t="s">
        <v>245</v>
      </c>
      <c r="AQ20" s="59" t="s">
        <v>112</v>
      </c>
      <c r="AR20" s="59" t="s">
        <v>114</v>
      </c>
      <c r="AS20" s="59" t="s">
        <v>115</v>
      </c>
      <c r="AT20" s="59" t="s">
        <v>116</v>
      </c>
      <c r="AU20" s="59" t="s">
        <v>117</v>
      </c>
      <c r="AV20" s="59" t="s">
        <v>118</v>
      </c>
      <c r="AW20" s="59" t="s">
        <v>119</v>
      </c>
      <c r="AX20" s="59" t="s">
        <v>120</v>
      </c>
      <c r="AY20" s="59" t="s">
        <v>121</v>
      </c>
      <c r="AZ20" s="59" t="s">
        <v>246</v>
      </c>
      <c r="BA20" s="59" t="s">
        <v>122</v>
      </c>
      <c r="BB20" s="59" t="s">
        <v>247</v>
      </c>
      <c r="BC20" s="59" t="s">
        <v>248</v>
      </c>
      <c r="BD20" s="59" t="s">
        <v>249</v>
      </c>
      <c r="BE20" s="59" t="s">
        <v>250</v>
      </c>
      <c r="BF20" s="59" t="s">
        <v>251</v>
      </c>
      <c r="BG20" s="59" t="s">
        <v>252</v>
      </c>
      <c r="BH20" s="59" t="s">
        <v>253</v>
      </c>
      <c r="BI20" s="59" t="s">
        <v>254</v>
      </c>
      <c r="BJ20" s="59" t="s">
        <v>255</v>
      </c>
      <c r="BK20" s="59" t="s">
        <v>256</v>
      </c>
      <c r="BL20" s="59" t="s">
        <v>257</v>
      </c>
      <c r="BM20" s="59" t="s">
        <v>258</v>
      </c>
      <c r="BN20" s="59" t="s">
        <v>259</v>
      </c>
      <c r="BO20" s="59" t="s">
        <v>260</v>
      </c>
      <c r="BP20" s="59" t="s">
        <v>261</v>
      </c>
      <c r="BQ20" s="59" t="s">
        <v>262</v>
      </c>
      <c r="BR20" s="59" t="s">
        <v>263</v>
      </c>
      <c r="BS20" s="59" t="s">
        <v>264</v>
      </c>
      <c r="BT20" s="59" t="s">
        <v>125</v>
      </c>
      <c r="BU20" s="59" t="s">
        <v>127</v>
      </c>
      <c r="BV20" s="59" t="s">
        <v>128</v>
      </c>
      <c r="BW20" s="59" t="s">
        <v>265</v>
      </c>
      <c r="BX20" s="59" t="s">
        <v>266</v>
      </c>
      <c r="BY20" s="59" t="s">
        <v>267</v>
      </c>
      <c r="BZ20" s="59" t="s">
        <v>268</v>
      </c>
      <c r="CA20" s="59" t="s">
        <v>269</v>
      </c>
      <c r="CB20" s="59" t="s">
        <v>270</v>
      </c>
      <c r="CC20" s="59" t="s">
        <v>271</v>
      </c>
      <c r="CD20" s="59" t="s">
        <v>272</v>
      </c>
      <c r="CE20" s="59" t="s">
        <v>273</v>
      </c>
      <c r="CF20" s="59" t="s">
        <v>274</v>
      </c>
      <c r="CG20" s="59" t="s">
        <v>129</v>
      </c>
      <c r="CH20" s="59" t="s">
        <v>275</v>
      </c>
      <c r="CI20" s="59" t="s">
        <v>130</v>
      </c>
      <c r="CJ20" s="59" t="s">
        <v>131</v>
      </c>
      <c r="CK20" s="59" t="s">
        <v>276</v>
      </c>
      <c r="CL20" s="59" t="s">
        <v>277</v>
      </c>
      <c r="CM20" s="59" t="s">
        <v>132</v>
      </c>
      <c r="CN20" s="59" t="s">
        <v>134</v>
      </c>
      <c r="CO20" s="59" t="s">
        <v>135</v>
      </c>
      <c r="CP20" s="59" t="s">
        <v>136</v>
      </c>
      <c r="CQ20" s="59" t="s">
        <v>137</v>
      </c>
      <c r="CR20" s="59" t="s">
        <v>138</v>
      </c>
      <c r="CS20" s="59" t="s">
        <v>139</v>
      </c>
      <c r="CT20" s="59" t="s">
        <v>140</v>
      </c>
      <c r="CU20" s="59" t="s">
        <v>141</v>
      </c>
      <c r="CV20" s="59" t="s">
        <v>142</v>
      </c>
      <c r="CW20" s="59" t="s">
        <v>143</v>
      </c>
      <c r="CX20" s="59" t="s">
        <v>144</v>
      </c>
      <c r="CY20" s="59" t="s">
        <v>145</v>
      </c>
      <c r="CZ20" s="59" t="s">
        <v>146</v>
      </c>
      <c r="DA20" s="59" t="s">
        <v>147</v>
      </c>
      <c r="DB20" s="59" t="s">
        <v>148</v>
      </c>
      <c r="DC20" s="59" t="s">
        <v>149</v>
      </c>
      <c r="DD20" s="59" t="s">
        <v>150</v>
      </c>
      <c r="DE20" s="59" t="s">
        <v>151</v>
      </c>
      <c r="DF20" s="59" t="s">
        <v>152</v>
      </c>
      <c r="DG20" s="59" t="s">
        <v>153</v>
      </c>
      <c r="DH20" s="59" t="s">
        <v>154</v>
      </c>
      <c r="DI20" s="59" t="s">
        <v>155</v>
      </c>
      <c r="DJ20" s="59" t="s">
        <v>156</v>
      </c>
      <c r="DK20" s="59" t="s">
        <v>157</v>
      </c>
      <c r="DL20" s="59" t="s">
        <v>158</v>
      </c>
      <c r="DM20" s="59" t="s">
        <v>278</v>
      </c>
      <c r="DN20" s="59" t="s">
        <v>279</v>
      </c>
      <c r="DO20" s="60" t="s">
        <v>280</v>
      </c>
    </row>
    <row r="21" spans="1:119" s="26" customFormat="1" ht="21.95" customHeight="1">
      <c r="A21" s="247"/>
      <c r="B21" s="61" t="s">
        <v>281</v>
      </c>
      <c r="C21" s="61" t="s">
        <v>282</v>
      </c>
      <c r="D21" s="61" t="s">
        <v>159</v>
      </c>
      <c r="E21" s="62">
        <v>85674239182476</v>
      </c>
      <c r="F21" s="61" t="s">
        <v>283</v>
      </c>
      <c r="G21" s="61" t="s">
        <v>284</v>
      </c>
      <c r="H21" s="63">
        <v>16.989999999999998</v>
      </c>
      <c r="I21" s="63">
        <v>2</v>
      </c>
      <c r="J21" s="61" t="s">
        <v>285</v>
      </c>
      <c r="K21" s="61" t="s">
        <v>286</v>
      </c>
      <c r="L21" s="61" t="s">
        <v>287</v>
      </c>
      <c r="M21" s="61"/>
      <c r="N21" s="64" t="s">
        <v>288</v>
      </c>
      <c r="O21" s="64" t="s">
        <v>289</v>
      </c>
      <c r="P21" s="64" t="s">
        <v>290</v>
      </c>
      <c r="Q21" s="64" t="s">
        <v>291</v>
      </c>
      <c r="R21" s="64" t="s">
        <v>292</v>
      </c>
      <c r="S21" s="61" t="s">
        <v>160</v>
      </c>
      <c r="T21" s="61" t="s">
        <v>160</v>
      </c>
      <c r="U21" s="61" t="s">
        <v>293</v>
      </c>
      <c r="V21" s="61" t="s">
        <v>161</v>
      </c>
      <c r="W21" s="61" t="s">
        <v>294</v>
      </c>
      <c r="X21" s="61" t="s">
        <v>295</v>
      </c>
      <c r="Y21" s="61" t="s">
        <v>296</v>
      </c>
      <c r="Z21" s="61" t="s">
        <v>297</v>
      </c>
      <c r="AA21" s="61" t="s">
        <v>298</v>
      </c>
      <c r="AB21" s="61" t="s">
        <v>299</v>
      </c>
      <c r="AC21" s="61" t="s">
        <v>300</v>
      </c>
      <c r="AD21" s="61" t="s">
        <v>301</v>
      </c>
      <c r="AE21" s="61" t="s">
        <v>163</v>
      </c>
      <c r="AF21" s="61" t="s">
        <v>302</v>
      </c>
      <c r="AG21" s="63">
        <v>100</v>
      </c>
      <c r="AH21" s="61" t="s">
        <v>164</v>
      </c>
      <c r="AI21" s="61" t="s">
        <v>303</v>
      </c>
      <c r="AJ21" s="61" t="s">
        <v>161</v>
      </c>
      <c r="AK21" s="61" t="s">
        <v>304</v>
      </c>
      <c r="AL21" s="63">
        <v>0.8</v>
      </c>
      <c r="AM21" s="61" t="s">
        <v>305</v>
      </c>
      <c r="AN21" s="61" t="s">
        <v>306</v>
      </c>
      <c r="AO21" s="61" t="s">
        <v>161</v>
      </c>
      <c r="AP21" s="61"/>
      <c r="AQ21" s="61" t="s">
        <v>307</v>
      </c>
      <c r="AR21" s="63"/>
      <c r="AS21" s="61"/>
      <c r="AT21" s="63"/>
      <c r="AU21" s="61"/>
      <c r="AV21" s="63"/>
      <c r="AW21" s="61"/>
      <c r="AX21" s="63"/>
      <c r="AY21" s="61"/>
      <c r="AZ21" s="61"/>
      <c r="BA21" s="61"/>
      <c r="BB21" s="61"/>
      <c r="BC21" s="61"/>
      <c r="BD21" s="61"/>
      <c r="BE21" s="61"/>
      <c r="BF21" s="61" t="s">
        <v>308</v>
      </c>
      <c r="BG21" s="61"/>
      <c r="BH21" s="61" t="s">
        <v>309</v>
      </c>
      <c r="BI21" s="61"/>
      <c r="BJ21" s="61" t="s">
        <v>310</v>
      </c>
      <c r="BK21" s="61"/>
      <c r="BL21" s="61"/>
      <c r="BM21" s="61" t="s">
        <v>311</v>
      </c>
      <c r="BN21" s="61"/>
      <c r="BO21" s="61"/>
      <c r="BP21" s="61"/>
      <c r="BQ21" s="61"/>
      <c r="BR21" s="61"/>
      <c r="BS21" s="61"/>
      <c r="BT21" s="61"/>
      <c r="BU21" s="61"/>
      <c r="BV21" s="61"/>
      <c r="BW21" s="61"/>
      <c r="BX21" s="61"/>
      <c r="BY21" s="61"/>
      <c r="BZ21" s="61"/>
      <c r="CA21" s="61"/>
      <c r="CB21" s="61"/>
      <c r="CC21" s="61"/>
      <c r="CD21" s="61"/>
      <c r="CE21" s="61"/>
      <c r="CF21" s="63"/>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5"/>
      <c r="DG21" s="61"/>
      <c r="DH21" s="61"/>
      <c r="DI21" s="61"/>
      <c r="DJ21" s="61"/>
      <c r="DK21" s="61"/>
      <c r="DL21" s="63"/>
      <c r="DM21" s="63"/>
      <c r="DN21" s="63"/>
      <c r="DO21" s="66"/>
    </row>
    <row r="22" spans="1:119" s="26" customFormat="1" ht="21.95" customHeight="1">
      <c r="A22" s="46"/>
      <c r="B22" s="47"/>
      <c r="C22" s="47"/>
      <c r="D22" s="47"/>
      <c r="E22" s="48"/>
      <c r="F22" s="47"/>
      <c r="G22" s="47"/>
      <c r="H22" s="49"/>
      <c r="I22" s="49"/>
      <c r="J22" s="47"/>
      <c r="K22" s="47"/>
      <c r="L22" s="47"/>
      <c r="M22" s="47"/>
      <c r="N22" s="50"/>
      <c r="O22" s="50"/>
      <c r="P22" s="50"/>
      <c r="Q22" s="50"/>
      <c r="R22" s="50"/>
      <c r="S22" s="47"/>
      <c r="T22" s="47"/>
      <c r="U22" s="47"/>
      <c r="V22" s="47"/>
      <c r="W22" s="47"/>
      <c r="X22" s="47"/>
      <c r="Y22" s="47"/>
      <c r="Z22" s="47"/>
      <c r="AA22" s="47"/>
      <c r="AB22" s="47"/>
      <c r="AC22" s="47"/>
      <c r="AD22" s="47"/>
      <c r="AE22" s="47"/>
      <c r="AF22" s="47"/>
      <c r="AG22" s="49"/>
      <c r="AH22" s="47"/>
      <c r="AI22" s="47"/>
      <c r="AJ22" s="47"/>
      <c r="AK22" s="47"/>
      <c r="AL22" s="49"/>
      <c r="AM22" s="47"/>
      <c r="AN22" s="47"/>
      <c r="AO22" s="47"/>
      <c r="AP22" s="47"/>
      <c r="AQ22" s="47"/>
      <c r="AR22" s="49"/>
      <c r="AS22" s="47"/>
      <c r="AT22" s="49"/>
      <c r="AU22" s="47"/>
      <c r="AV22" s="49"/>
      <c r="AW22" s="47"/>
      <c r="AX22" s="49"/>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9"/>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51"/>
      <c r="DG22" s="47"/>
      <c r="DH22" s="47"/>
      <c r="DI22" s="47"/>
      <c r="DJ22" s="47"/>
      <c r="DK22" s="47"/>
      <c r="DL22" s="49"/>
      <c r="DM22" s="49"/>
      <c r="DN22" s="49"/>
      <c r="DO22" s="47"/>
    </row>
    <row r="23" spans="1:119" s="29" customFormat="1" ht="22.5" customHeight="1">
      <c r="A23" s="68" t="s">
        <v>320</v>
      </c>
      <c r="B23" s="69"/>
      <c r="C23" s="69"/>
      <c r="D23" s="69"/>
      <c r="E23" s="69"/>
      <c r="F23" s="69"/>
      <c r="G23" s="69"/>
      <c r="H23" s="69"/>
      <c r="I23" s="70"/>
      <c r="J23" s="31"/>
      <c r="N23" s="32"/>
      <c r="O23" s="32"/>
      <c r="P23" s="32"/>
      <c r="CG23" s="33"/>
      <c r="CH23" s="33"/>
      <c r="CI23" s="33"/>
      <c r="CJ23" s="33"/>
      <c r="CK23" s="33"/>
    </row>
    <row r="24" spans="1:119" s="29" customFormat="1" ht="21" customHeight="1">
      <c r="A24" s="221" t="s">
        <v>318</v>
      </c>
      <c r="B24" s="96" t="s">
        <v>10</v>
      </c>
      <c r="C24" s="97" t="s">
        <v>14</v>
      </c>
      <c r="D24" s="98" t="s">
        <v>16</v>
      </c>
      <c r="E24" s="235" t="s">
        <v>16</v>
      </c>
      <c r="F24" s="236"/>
      <c r="G24" s="237"/>
      <c r="H24" s="237"/>
      <c r="I24" s="237"/>
      <c r="J24" s="238"/>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row>
    <row r="25" spans="1:119" s="29" customFormat="1" ht="21" customHeight="1">
      <c r="A25" s="222"/>
      <c r="B25" s="99"/>
      <c r="C25" s="100" t="s">
        <v>169</v>
      </c>
      <c r="D25" s="101" t="s">
        <v>169</v>
      </c>
      <c r="E25" s="84"/>
      <c r="F25" s="101" t="s">
        <v>169</v>
      </c>
      <c r="G25" s="101" t="s">
        <v>169</v>
      </c>
      <c r="H25" s="101"/>
      <c r="I25" s="67" t="s">
        <v>29</v>
      </c>
      <c r="J25" s="83"/>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row>
    <row r="26" spans="1:119" s="29" customFormat="1" ht="30.75" customHeight="1">
      <c r="A26" s="222"/>
      <c r="B26" s="57" t="s">
        <v>56</v>
      </c>
      <c r="C26" s="57" t="s">
        <v>205</v>
      </c>
      <c r="D26" s="102" t="s">
        <v>73</v>
      </c>
      <c r="E26" s="85" t="s">
        <v>73</v>
      </c>
      <c r="F26" s="102" t="s">
        <v>74</v>
      </c>
      <c r="G26" s="102" t="s">
        <v>74</v>
      </c>
      <c r="H26" s="102" t="s">
        <v>75</v>
      </c>
      <c r="I26" s="102" t="s">
        <v>76</v>
      </c>
      <c r="J26" s="71" t="s">
        <v>77</v>
      </c>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row>
    <row r="27" spans="1:119" s="28" customFormat="1" ht="300.95" customHeight="1">
      <c r="A27" s="222"/>
      <c r="B27" s="59" t="s">
        <v>238</v>
      </c>
      <c r="C27" s="59" t="s">
        <v>255</v>
      </c>
      <c r="D27" s="103" t="s">
        <v>136</v>
      </c>
      <c r="E27" s="86" t="s">
        <v>136</v>
      </c>
      <c r="F27" s="103" t="s">
        <v>137</v>
      </c>
      <c r="G27" s="103" t="s">
        <v>138</v>
      </c>
      <c r="I27" s="103" t="s">
        <v>139</v>
      </c>
      <c r="J27" s="82" t="s">
        <v>140</v>
      </c>
      <c r="M27" s="35"/>
      <c r="N27" s="35"/>
      <c r="O27" s="35"/>
      <c r="P27" s="36"/>
      <c r="Q27" s="37"/>
      <c r="R27" s="37"/>
      <c r="S27" s="37"/>
      <c r="T27" s="38"/>
      <c r="U27" s="37"/>
      <c r="V27" s="38"/>
      <c r="W27" s="37"/>
      <c r="X27" s="37"/>
      <c r="Y27" s="37"/>
      <c r="Z27" s="37"/>
      <c r="AA27" s="37"/>
      <c r="AB27" s="37"/>
      <c r="AC27" s="37"/>
      <c r="AD27" s="37"/>
      <c r="AE27" s="38"/>
      <c r="AF27" s="37"/>
      <c r="AG27" s="37"/>
      <c r="AH27" s="37"/>
      <c r="AI27" s="37"/>
      <c r="AJ27" s="37"/>
      <c r="AK27" s="37"/>
      <c r="AL27" s="38"/>
      <c r="AM27" s="37"/>
      <c r="AN27" s="38"/>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8"/>
      <c r="BQ27" s="37"/>
      <c r="BR27" s="37"/>
      <c r="BS27" s="37"/>
      <c r="BT27" s="37"/>
      <c r="BU27" s="37"/>
      <c r="BV27" s="37"/>
      <c r="BW27" s="37"/>
      <c r="BX27" s="37"/>
      <c r="BY27" s="37"/>
      <c r="BZ27" s="37"/>
      <c r="CA27" s="37"/>
      <c r="CB27" s="37"/>
      <c r="CC27" s="37"/>
      <c r="CD27" s="37"/>
      <c r="CE27" s="37"/>
      <c r="CF27" s="37"/>
      <c r="CG27" s="35"/>
      <c r="CH27" s="35"/>
      <c r="CI27" s="35"/>
      <c r="CJ27" s="35"/>
      <c r="CK27" s="35"/>
      <c r="CL27" s="37"/>
      <c r="CM27" s="37"/>
      <c r="CN27" s="37"/>
      <c r="CO27" s="37"/>
      <c r="CP27" s="37"/>
      <c r="CQ27" s="37"/>
      <c r="CR27" s="37"/>
      <c r="CS27" s="37"/>
      <c r="CT27" s="37"/>
      <c r="CU27" s="37"/>
      <c r="CV27" s="37"/>
      <c r="CW27" s="39"/>
      <c r="CX27" s="37"/>
      <c r="CY27" s="37"/>
      <c r="CZ27" s="37"/>
      <c r="DA27" s="37"/>
      <c r="DB27" s="37"/>
      <c r="DC27" s="38"/>
    </row>
    <row r="28" spans="1:119" s="26" customFormat="1" ht="125.1" customHeight="1">
      <c r="A28" s="72" t="s">
        <v>170</v>
      </c>
      <c r="B28" s="47" t="s">
        <v>300</v>
      </c>
      <c r="C28" s="47" t="s">
        <v>310</v>
      </c>
      <c r="D28" s="37" t="s">
        <v>171</v>
      </c>
      <c r="E28" s="87" t="s">
        <v>314</v>
      </c>
      <c r="F28" s="37"/>
      <c r="G28" s="37"/>
      <c r="H28" s="105" t="s">
        <v>329</v>
      </c>
      <c r="I28" s="106" t="s">
        <v>56</v>
      </c>
      <c r="J28" s="109" t="s">
        <v>316</v>
      </c>
      <c r="M28" s="29"/>
      <c r="N28" s="32"/>
      <c r="O28" s="32"/>
      <c r="P28" s="32"/>
      <c r="Q28" s="29"/>
      <c r="R28" s="29"/>
      <c r="S28" s="29"/>
      <c r="T28" s="29"/>
      <c r="U28" s="29"/>
      <c r="V28" s="29"/>
      <c r="W28" s="29"/>
      <c r="X28" s="29"/>
      <c r="Y28" s="29"/>
      <c r="Z28" s="29"/>
      <c r="AA28" s="29"/>
      <c r="AB28" s="29"/>
      <c r="AC28" s="29"/>
      <c r="AD28" s="29"/>
      <c r="AE28" s="29"/>
      <c r="AF28" s="29"/>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1"/>
      <c r="CH28" s="1"/>
      <c r="CI28" s="29"/>
      <c r="CJ28" s="29"/>
      <c r="CK28" s="29"/>
      <c r="CL28" s="29"/>
      <c r="CM28" s="29"/>
      <c r="CN28" s="29"/>
      <c r="CO28" s="29"/>
      <c r="CP28" s="29"/>
      <c r="CQ28" s="29"/>
      <c r="CR28" s="29"/>
      <c r="CS28" s="29"/>
      <c r="CT28" s="29"/>
      <c r="CU28" s="29"/>
      <c r="CV28" s="29" t="s">
        <v>165</v>
      </c>
      <c r="CW28" s="29" t="s">
        <v>166</v>
      </c>
      <c r="CX28" s="29" t="s">
        <v>165</v>
      </c>
      <c r="CY28" s="29"/>
      <c r="CZ28" s="29" t="s">
        <v>167</v>
      </c>
      <c r="DA28" s="29"/>
      <c r="DB28" s="29"/>
      <c r="DC28" s="29" t="s">
        <v>168</v>
      </c>
    </row>
    <row r="29" spans="1:119" ht="141" customHeight="1">
      <c r="A29" s="73" t="s">
        <v>172</v>
      </c>
      <c r="B29" s="74" t="s">
        <v>162</v>
      </c>
      <c r="C29" s="74" t="s">
        <v>310</v>
      </c>
      <c r="D29" s="75" t="s">
        <v>171</v>
      </c>
      <c r="E29" s="88" t="s">
        <v>314</v>
      </c>
      <c r="F29" s="104" t="s">
        <v>56</v>
      </c>
      <c r="G29" s="76" t="s">
        <v>330</v>
      </c>
      <c r="H29" s="107" t="s">
        <v>161</v>
      </c>
      <c r="I29" s="108" t="s">
        <v>56</v>
      </c>
      <c r="J29" s="66" t="s">
        <v>317</v>
      </c>
      <c r="CI29" s="29"/>
    </row>
    <row r="30" spans="1:119" ht="21" customHeight="1">
      <c r="A30" s="42"/>
      <c r="D30" s="37"/>
      <c r="E30" s="4"/>
      <c r="F30" s="4"/>
      <c r="G30" s="2"/>
      <c r="H30" s="1"/>
      <c r="I30" s="1"/>
      <c r="CI30" s="29"/>
    </row>
    <row r="31" spans="1:119" ht="18">
      <c r="A31" s="223" t="s">
        <v>325</v>
      </c>
      <c r="B31" s="224"/>
      <c r="C31" s="224"/>
      <c r="D31" s="224"/>
      <c r="E31" s="225"/>
      <c r="F31" s="2"/>
      <c r="G31" s="40"/>
      <c r="H31" s="1"/>
      <c r="I31" s="1"/>
      <c r="CI31" s="29"/>
    </row>
    <row r="32" spans="1:119" ht="15" customHeight="1">
      <c r="A32" s="226" t="s">
        <v>173</v>
      </c>
      <c r="B32" s="228" t="s">
        <v>174</v>
      </c>
      <c r="C32" s="229" t="s">
        <v>175</v>
      </c>
      <c r="D32" s="228" t="s">
        <v>176</v>
      </c>
      <c r="E32" s="259" t="s">
        <v>313</v>
      </c>
      <c r="F32" s="2"/>
      <c r="G32" s="40"/>
      <c r="H32" s="1"/>
      <c r="I32" s="1"/>
      <c r="CI32" s="29"/>
    </row>
    <row r="33" spans="1:107">
      <c r="A33" s="226"/>
      <c r="B33" s="228"/>
      <c r="C33" s="228"/>
      <c r="D33" s="228"/>
      <c r="E33" s="259"/>
      <c r="F33" s="2"/>
      <c r="G33" s="40"/>
      <c r="H33" s="1"/>
      <c r="I33" s="1"/>
      <c r="CI33" s="29"/>
    </row>
    <row r="34" spans="1:107">
      <c r="A34" s="226"/>
      <c r="B34" s="228"/>
      <c r="C34" s="228"/>
      <c r="D34" s="228"/>
      <c r="E34" s="259"/>
      <c r="F34" s="2"/>
      <c r="G34" s="40"/>
      <c r="H34" s="1"/>
      <c r="I34" s="1"/>
      <c r="CI34" s="29"/>
    </row>
    <row r="35" spans="1:107" ht="165" customHeight="1">
      <c r="A35" s="227"/>
      <c r="B35" s="81"/>
      <c r="C35" s="81"/>
      <c r="D35" s="75"/>
      <c r="E35" s="260"/>
      <c r="F35" s="2"/>
      <c r="G35" s="40"/>
      <c r="H35" s="1"/>
      <c r="I35" s="1"/>
      <c r="CI35" s="29"/>
    </row>
    <row r="36" spans="1:107" ht="18.95" customHeight="1">
      <c r="A36" s="78"/>
      <c r="D36" s="37"/>
      <c r="E36" s="43"/>
      <c r="F36" s="2"/>
      <c r="G36" s="40"/>
      <c r="H36" s="1"/>
      <c r="I36" s="1"/>
      <c r="CI36" s="29"/>
    </row>
    <row r="37" spans="1:107" ht="21.75" customHeight="1">
      <c r="A37" s="223" t="s">
        <v>321</v>
      </c>
      <c r="B37" s="225"/>
      <c r="D37" s="37"/>
      <c r="E37" s="43"/>
      <c r="F37" s="2"/>
      <c r="G37" s="40"/>
      <c r="H37" s="1"/>
      <c r="I37" s="1"/>
      <c r="CI37" s="29"/>
    </row>
    <row r="38" spans="1:107" ht="21.75" customHeight="1">
      <c r="A38" s="226" t="s">
        <v>177</v>
      </c>
      <c r="B38" s="79"/>
      <c r="D38" s="37"/>
      <c r="E38" s="43"/>
      <c r="F38" s="2"/>
      <c r="G38" s="40"/>
      <c r="H38" s="1"/>
      <c r="I38" s="1"/>
      <c r="CI38" s="29"/>
    </row>
    <row r="39" spans="1:107" ht="21.75" customHeight="1">
      <c r="A39" s="226"/>
      <c r="B39" s="79"/>
      <c r="D39" s="37"/>
      <c r="E39" s="43"/>
      <c r="F39" s="2"/>
      <c r="G39" s="40"/>
      <c r="H39" s="1"/>
      <c r="I39" s="1"/>
      <c r="CI39" s="29"/>
    </row>
    <row r="40" spans="1:107" ht="21.75" customHeight="1">
      <c r="A40" s="226"/>
      <c r="B40" s="79"/>
      <c r="D40" s="37"/>
      <c r="E40" s="43"/>
      <c r="F40" s="2"/>
      <c r="G40" s="40"/>
      <c r="H40" s="1"/>
      <c r="I40" s="1"/>
      <c r="CI40" s="29"/>
    </row>
    <row r="41" spans="1:107" ht="30.95" customHeight="1">
      <c r="A41" s="227"/>
      <c r="B41" s="80"/>
      <c r="D41" s="37"/>
      <c r="E41" s="43"/>
      <c r="F41" s="2"/>
      <c r="G41" s="40"/>
      <c r="H41" s="1"/>
      <c r="I41" s="1"/>
      <c r="CI41" s="29"/>
    </row>
    <row r="42" spans="1:107" ht="21.95" customHeight="1">
      <c r="A42" s="77"/>
      <c r="D42" s="37"/>
      <c r="E42" s="43"/>
      <c r="F42" s="2"/>
      <c r="G42" s="40"/>
      <c r="H42" s="1"/>
      <c r="I42" s="1"/>
      <c r="CI42" s="29"/>
    </row>
    <row r="43" spans="1:107" ht="19.5" customHeight="1">
      <c r="A43" s="30" t="s">
        <v>178</v>
      </c>
      <c r="B43" s="30"/>
      <c r="C43" s="4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row>
    <row r="45" spans="1:107" ht="15" customHeight="1">
      <c r="A45" s="230" t="s">
        <v>328</v>
      </c>
      <c r="B45" s="230"/>
    </row>
    <row r="46" spans="1:107" ht="15" customHeight="1">
      <c r="A46" s="230"/>
      <c r="B46" s="230"/>
    </row>
    <row r="47" spans="1:107" ht="15" customHeight="1">
      <c r="A47" s="230"/>
      <c r="B47" s="230"/>
    </row>
    <row r="48" spans="1:107" ht="155.1" customHeight="1">
      <c r="A48" s="230"/>
      <c r="B48" s="230"/>
    </row>
    <row r="49" spans="1:57" ht="21" customHeight="1">
      <c r="A49" s="231" t="s">
        <v>323</v>
      </c>
      <c r="B49" s="93" t="s">
        <v>33</v>
      </c>
      <c r="C49" s="94" t="s">
        <v>324</v>
      </c>
      <c r="G49" s="9"/>
      <c r="H49" s="1"/>
      <c r="I49" s="1"/>
      <c r="S49" s="2"/>
    </row>
    <row r="50" spans="1:57" ht="15" customHeight="1">
      <c r="A50" s="215"/>
      <c r="B50" s="217" t="s">
        <v>179</v>
      </c>
      <c r="C50" s="233" t="s">
        <v>326</v>
      </c>
    </row>
    <row r="51" spans="1:57" ht="15" customHeight="1">
      <c r="A51" s="215"/>
      <c r="B51" s="217"/>
      <c r="C51" s="233"/>
      <c r="G51" s="9"/>
      <c r="H51" s="1"/>
      <c r="I51" s="1"/>
      <c r="K51" s="2"/>
      <c r="M51" s="2"/>
      <c r="O51" s="2"/>
      <c r="Q51" s="2"/>
      <c r="T51" s="1"/>
      <c r="V51" s="1"/>
      <c r="X51" s="2"/>
      <c r="AE51" s="1"/>
      <c r="AI51" s="2"/>
      <c r="AL51" s="1"/>
      <c r="AN51" s="1"/>
      <c r="BE51" s="2"/>
    </row>
    <row r="52" spans="1:57" ht="15" customHeight="1">
      <c r="A52" s="215"/>
      <c r="B52" s="217"/>
      <c r="C52" s="233"/>
    </row>
    <row r="53" spans="1:57" ht="75" customHeight="1">
      <c r="A53" s="232"/>
      <c r="B53" s="217"/>
      <c r="C53" s="234"/>
    </row>
    <row r="54" spans="1:57" ht="18" customHeight="1">
      <c r="A54" s="214" t="s">
        <v>322</v>
      </c>
      <c r="B54" s="45" t="s">
        <v>33</v>
      </c>
      <c r="C54" s="95" t="s">
        <v>324</v>
      </c>
    </row>
    <row r="55" spans="1:57" ht="15" customHeight="1">
      <c r="A55" s="215"/>
      <c r="B55" s="217" t="s">
        <v>180</v>
      </c>
      <c r="C55" s="219" t="s">
        <v>327</v>
      </c>
    </row>
    <row r="56" spans="1:57" ht="15" customHeight="1">
      <c r="A56" s="215"/>
      <c r="B56" s="217"/>
      <c r="C56" s="219"/>
    </row>
    <row r="57" spans="1:57" ht="15" customHeight="1">
      <c r="A57" s="215"/>
      <c r="B57" s="217"/>
      <c r="C57" s="219"/>
    </row>
    <row r="58" spans="1:57" ht="121.5" customHeight="1">
      <c r="A58" s="216"/>
      <c r="B58" s="218"/>
      <c r="C58" s="220"/>
    </row>
  </sheetData>
  <mergeCells count="43">
    <mergeCell ref="E32:E35"/>
    <mergeCell ref="A1:C1"/>
    <mergeCell ref="DH18:DI18"/>
    <mergeCell ref="CS18:CT18"/>
    <mergeCell ref="A2:D2"/>
    <mergeCell ref="A14:C14"/>
    <mergeCell ref="B17:B19"/>
    <mergeCell ref="C17:C19"/>
    <mergeCell ref="D18:E18"/>
    <mergeCell ref="AX18:AY18"/>
    <mergeCell ref="CU18:CW18"/>
    <mergeCell ref="DM18:DO18"/>
    <mergeCell ref="A16:DO16"/>
    <mergeCell ref="A17:A21"/>
    <mergeCell ref="D17:J17"/>
    <mergeCell ref="K17:M17"/>
    <mergeCell ref="N17:AO17"/>
    <mergeCell ref="AP17:CO17"/>
    <mergeCell ref="CP17:CT17"/>
    <mergeCell ref="CU17:DO17"/>
    <mergeCell ref="K18:M18"/>
    <mergeCell ref="AG18:AH18"/>
    <mergeCell ref="AK18:AL18"/>
    <mergeCell ref="AR18:AS18"/>
    <mergeCell ref="AT18:AU18"/>
    <mergeCell ref="AV18:AW18"/>
    <mergeCell ref="CE18:CF18"/>
    <mergeCell ref="A54:A58"/>
    <mergeCell ref="B55:B58"/>
    <mergeCell ref="C55:C58"/>
    <mergeCell ref="A24:A27"/>
    <mergeCell ref="A31:E31"/>
    <mergeCell ref="A32:A35"/>
    <mergeCell ref="B32:B34"/>
    <mergeCell ref="C32:C34"/>
    <mergeCell ref="D32:D34"/>
    <mergeCell ref="A38:A41"/>
    <mergeCell ref="A45:B48"/>
    <mergeCell ref="A49:A53"/>
    <mergeCell ref="B50:B53"/>
    <mergeCell ref="C50:C53"/>
    <mergeCell ref="E24:J24"/>
    <mergeCell ref="A37:B37"/>
  </mergeCells>
  <phoneticPr fontId="154" type="noConversion"/>
  <hyperlinks>
    <hyperlink ref="C10" r:id="rId1" xr:uid="{4B894B16-78DE-2741-B19B-3AC3550B76AA}"/>
    <hyperlink ref="AQ21" r:id="rId2" xr:uid="{8E88D30F-87A1-3C41-A652-886B35DA2B86}"/>
    <hyperlink ref="J28" r:id="rId3" xr:uid="{5ABC06A8-118A-2E4E-A281-809CC3EE81B4}"/>
    <hyperlink ref="J29" r:id="rId4" xr:uid="{BF925E1F-3495-6B4F-AF20-0DAB750AF352}"/>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54"/>
  <sheetViews>
    <sheetView workbookViewId="0">
      <pane xSplit="3" ySplit="1" topLeftCell="D2" activePane="bottomRight" state="frozen"/>
      <selection pane="topRight"/>
      <selection pane="bottomLeft"/>
      <selection pane="bottomRight"/>
    </sheetView>
  </sheetViews>
  <sheetFormatPr defaultColWidth="31" defaultRowHeight="15" customHeight="1"/>
  <cols>
    <col min="3" max="4" width="30" customWidth="1"/>
  </cols>
  <sheetData>
    <row r="1" spans="1:79" ht="15" customHeight="1">
      <c r="A1" s="154" t="s">
        <v>345</v>
      </c>
      <c r="B1" s="154" t="s">
        <v>1608</v>
      </c>
      <c r="C1" s="154" t="s">
        <v>343</v>
      </c>
      <c r="D1" s="154" t="s">
        <v>1609</v>
      </c>
      <c r="E1" s="154" t="s">
        <v>1610</v>
      </c>
      <c r="F1" s="154" t="s">
        <v>1611</v>
      </c>
      <c r="G1" s="154" t="s">
        <v>1612</v>
      </c>
      <c r="H1" s="154" t="s">
        <v>1613</v>
      </c>
      <c r="CA1" s="47">
        <f>'Product Content And Site Exp'!D7</f>
        <v>0</v>
      </c>
    </row>
    <row r="2" spans="1:79" ht="15" customHeight="1">
      <c r="A2" s="159" t="s">
        <v>781</v>
      </c>
      <c r="B2" s="160" t="s">
        <v>1614</v>
      </c>
      <c r="C2" s="158" t="s">
        <v>353</v>
      </c>
      <c r="D2" s="158" t="s">
        <v>1615</v>
      </c>
      <c r="E2" s="161" t="s">
        <v>1615</v>
      </c>
      <c r="F2" s="161">
        <v>0</v>
      </c>
      <c r="G2" s="161">
        <v>0</v>
      </c>
      <c r="H2" s="161" t="s">
        <v>1615</v>
      </c>
    </row>
    <row r="3" spans="1:79" ht="15" customHeight="1">
      <c r="A3" s="162" t="s">
        <v>1508</v>
      </c>
      <c r="B3" s="155" t="s">
        <v>1616</v>
      </c>
      <c r="C3" s="156" t="s">
        <v>353</v>
      </c>
      <c r="D3" s="156" t="s">
        <v>1615</v>
      </c>
      <c r="E3" s="157" t="s">
        <v>160</v>
      </c>
      <c r="F3" s="157">
        <v>2500</v>
      </c>
      <c r="G3" s="157">
        <v>2</v>
      </c>
      <c r="H3" s="157" t="s">
        <v>1617</v>
      </c>
    </row>
    <row r="4" spans="1:79" ht="15" customHeight="1">
      <c r="A4" s="163" t="s">
        <v>1618</v>
      </c>
      <c r="B4" s="160" t="s">
        <v>1619</v>
      </c>
      <c r="C4" s="158" t="s">
        <v>353</v>
      </c>
      <c r="D4" s="158" t="s">
        <v>1620</v>
      </c>
      <c r="E4" s="161" t="s">
        <v>293</v>
      </c>
      <c r="F4" s="161">
        <v>14</v>
      </c>
      <c r="G4" s="161">
        <v>0</v>
      </c>
      <c r="H4" s="161" t="s">
        <v>1615</v>
      </c>
    </row>
    <row r="5" spans="1:79" ht="15" customHeight="1">
      <c r="A5" s="164" t="s">
        <v>1621</v>
      </c>
      <c r="B5" s="155" t="s">
        <v>1619</v>
      </c>
      <c r="C5" s="156" t="s">
        <v>353</v>
      </c>
      <c r="D5" s="156" t="s">
        <v>1620</v>
      </c>
      <c r="E5" s="157" t="s">
        <v>293</v>
      </c>
      <c r="F5" s="157">
        <v>14</v>
      </c>
      <c r="G5" s="157">
        <v>0</v>
      </c>
      <c r="H5" s="157" t="s">
        <v>1615</v>
      </c>
    </row>
    <row r="6" spans="1:79" ht="15" customHeight="1">
      <c r="A6" s="165" t="s">
        <v>1622</v>
      </c>
      <c r="B6" s="160" t="s">
        <v>1623</v>
      </c>
      <c r="C6" s="158" t="s">
        <v>353</v>
      </c>
      <c r="D6" s="158" t="s">
        <v>1620</v>
      </c>
      <c r="E6" s="161" t="s">
        <v>293</v>
      </c>
      <c r="F6" s="161">
        <v>14</v>
      </c>
      <c r="G6" s="161">
        <v>0</v>
      </c>
      <c r="H6" s="161" t="s">
        <v>1615</v>
      </c>
    </row>
    <row r="7" spans="1:79" ht="15" customHeight="1">
      <c r="A7" s="166" t="s">
        <v>1624</v>
      </c>
      <c r="B7" s="155" t="s">
        <v>1623</v>
      </c>
      <c r="C7" s="156" t="s">
        <v>353</v>
      </c>
      <c r="D7" s="156" t="s">
        <v>1620</v>
      </c>
      <c r="E7" s="157" t="s">
        <v>293</v>
      </c>
      <c r="F7" s="157">
        <v>14</v>
      </c>
      <c r="G7" s="157">
        <v>0</v>
      </c>
      <c r="H7" s="157" t="s">
        <v>1615</v>
      </c>
    </row>
    <row r="8" spans="1:79" ht="15" customHeight="1">
      <c r="A8" s="167" t="s">
        <v>1625</v>
      </c>
      <c r="B8" s="160" t="s">
        <v>1626</v>
      </c>
      <c r="C8" s="158" t="s">
        <v>353</v>
      </c>
      <c r="D8" s="158" t="s">
        <v>1627</v>
      </c>
      <c r="E8" s="161" t="s">
        <v>293</v>
      </c>
      <c r="F8" s="161">
        <v>14</v>
      </c>
      <c r="G8" s="161">
        <v>0</v>
      </c>
      <c r="H8" s="161" t="s">
        <v>1615</v>
      </c>
    </row>
    <row r="9" spans="1:79" ht="15" customHeight="1">
      <c r="A9" s="168" t="s">
        <v>1628</v>
      </c>
      <c r="B9" s="155" t="s">
        <v>1626</v>
      </c>
      <c r="C9" s="156" t="s">
        <v>353</v>
      </c>
      <c r="D9" s="156" t="s">
        <v>1627</v>
      </c>
      <c r="E9" s="157" t="s">
        <v>293</v>
      </c>
      <c r="F9" s="157">
        <v>14</v>
      </c>
      <c r="G9" s="157">
        <v>0</v>
      </c>
      <c r="H9" s="157" t="s">
        <v>1615</v>
      </c>
    </row>
    <row r="10" spans="1:79" ht="15" customHeight="1">
      <c r="A10" s="169" t="s">
        <v>1629</v>
      </c>
      <c r="B10" s="160" t="s">
        <v>1630</v>
      </c>
      <c r="C10" s="158" t="s">
        <v>353</v>
      </c>
      <c r="D10" s="158" t="s">
        <v>1620</v>
      </c>
      <c r="E10" s="161" t="s">
        <v>293</v>
      </c>
      <c r="F10" s="161">
        <v>14</v>
      </c>
      <c r="G10" s="161">
        <v>0</v>
      </c>
      <c r="H10" s="161" t="s">
        <v>1615</v>
      </c>
    </row>
    <row r="11" spans="1:79" ht="15" customHeight="1">
      <c r="A11" s="170" t="s">
        <v>1631</v>
      </c>
      <c r="B11" s="155" t="s">
        <v>1630</v>
      </c>
      <c r="C11" s="156" t="s">
        <v>353</v>
      </c>
      <c r="D11" s="156" t="s">
        <v>1620</v>
      </c>
      <c r="E11" s="157" t="s">
        <v>293</v>
      </c>
      <c r="F11" s="157">
        <v>14</v>
      </c>
      <c r="G11" s="157">
        <v>0</v>
      </c>
      <c r="H11" s="157" t="s">
        <v>1615</v>
      </c>
    </row>
    <row r="12" spans="1:79" ht="15" customHeight="1">
      <c r="A12" s="171" t="s">
        <v>55</v>
      </c>
      <c r="B12" s="160" t="s">
        <v>1632</v>
      </c>
      <c r="C12" s="158" t="s">
        <v>353</v>
      </c>
      <c r="D12" s="158" t="s">
        <v>1633</v>
      </c>
      <c r="E12" s="161" t="s">
        <v>160</v>
      </c>
      <c r="F12" s="161">
        <v>5000</v>
      </c>
      <c r="G12" s="161">
        <v>0</v>
      </c>
      <c r="H12" s="161" t="s">
        <v>1615</v>
      </c>
    </row>
    <row r="13" spans="1:79" ht="15" customHeight="1">
      <c r="A13" s="172" t="s">
        <v>1539</v>
      </c>
      <c r="B13" s="155" t="s">
        <v>1634</v>
      </c>
      <c r="C13" s="156" t="s">
        <v>353</v>
      </c>
      <c r="D13" s="156" t="s">
        <v>1615</v>
      </c>
      <c r="E13" s="157" t="s">
        <v>1615</v>
      </c>
      <c r="F13" s="157">
        <v>0</v>
      </c>
      <c r="G13" s="157">
        <v>0</v>
      </c>
      <c r="H13" s="157" t="s">
        <v>1615</v>
      </c>
    </row>
    <row r="14" spans="1:79" ht="15" customHeight="1">
      <c r="A14" s="173" t="s">
        <v>787</v>
      </c>
      <c r="B14" s="160" t="s">
        <v>1635</v>
      </c>
      <c r="C14" s="158" t="s">
        <v>353</v>
      </c>
      <c r="D14" s="158" t="s">
        <v>1636</v>
      </c>
      <c r="E14" s="161" t="s">
        <v>160</v>
      </c>
      <c r="F14" s="161">
        <v>50</v>
      </c>
      <c r="G14" s="161">
        <v>0</v>
      </c>
      <c r="H14" s="161" t="s">
        <v>1615</v>
      </c>
    </row>
    <row r="15" spans="1:79" ht="15" customHeight="1">
      <c r="A15" s="174" t="s">
        <v>1477</v>
      </c>
      <c r="B15" s="155" t="s">
        <v>1637</v>
      </c>
      <c r="C15" s="156" t="s">
        <v>353</v>
      </c>
      <c r="D15" s="156" t="s">
        <v>1638</v>
      </c>
      <c r="E15" s="157" t="s">
        <v>160</v>
      </c>
      <c r="F15" s="157">
        <v>50</v>
      </c>
      <c r="G15" s="157">
        <v>0</v>
      </c>
      <c r="H15" s="157" t="s">
        <v>1615</v>
      </c>
    </row>
    <row r="16" spans="1:79" ht="15" customHeight="1">
      <c r="A16" s="175" t="s">
        <v>199</v>
      </c>
      <c r="B16" s="160" t="s">
        <v>1639</v>
      </c>
      <c r="C16" s="158" t="s">
        <v>353</v>
      </c>
      <c r="D16" s="158" t="s">
        <v>1615</v>
      </c>
      <c r="E16" s="161" t="s">
        <v>160</v>
      </c>
      <c r="F16" s="161">
        <v>36</v>
      </c>
      <c r="G16" s="161">
        <v>0</v>
      </c>
      <c r="H16" s="161" t="s">
        <v>1615</v>
      </c>
    </row>
    <row r="17" spans="1:8" ht="15" customHeight="1">
      <c r="A17" s="176" t="s">
        <v>200</v>
      </c>
      <c r="B17" s="155" t="s">
        <v>1640</v>
      </c>
      <c r="C17" s="156" t="s">
        <v>353</v>
      </c>
      <c r="D17" s="156" t="s">
        <v>1615</v>
      </c>
      <c r="E17" s="157" t="s">
        <v>160</v>
      </c>
      <c r="F17" s="157">
        <v>36</v>
      </c>
      <c r="G17" s="157">
        <v>0</v>
      </c>
      <c r="H17" s="157" t="s">
        <v>1615</v>
      </c>
    </row>
    <row r="18" spans="1:8" ht="15" customHeight="1">
      <c r="A18" s="177" t="s">
        <v>1488</v>
      </c>
      <c r="B18" s="160" t="s">
        <v>1641</v>
      </c>
      <c r="C18" s="158" t="s">
        <v>353</v>
      </c>
      <c r="D18" s="158" t="s">
        <v>1615</v>
      </c>
      <c r="E18" s="161" t="s">
        <v>1615</v>
      </c>
      <c r="F18" s="161">
        <v>0</v>
      </c>
      <c r="G18" s="161">
        <v>0</v>
      </c>
      <c r="H18" s="161" t="s">
        <v>1615</v>
      </c>
    </row>
    <row r="19" spans="1:8" ht="15" customHeight="1">
      <c r="A19" s="178" t="s">
        <v>834</v>
      </c>
      <c r="B19" s="155" t="s">
        <v>1642</v>
      </c>
      <c r="C19" s="156" t="s">
        <v>353</v>
      </c>
      <c r="D19" s="156" t="s">
        <v>1615</v>
      </c>
      <c r="E19" s="157" t="s">
        <v>160</v>
      </c>
      <c r="F19" s="157">
        <v>36</v>
      </c>
      <c r="G19" s="157">
        <v>0</v>
      </c>
      <c r="H19" s="157" t="s">
        <v>1615</v>
      </c>
    </row>
    <row r="20" spans="1:8" ht="15" customHeight="1">
      <c r="A20" s="179" t="s">
        <v>59</v>
      </c>
      <c r="B20" s="160" t="s">
        <v>1643</v>
      </c>
      <c r="C20" s="158" t="s">
        <v>353</v>
      </c>
      <c r="D20" s="158" t="s">
        <v>1644</v>
      </c>
      <c r="E20" s="161" t="s">
        <v>160</v>
      </c>
      <c r="F20" s="161">
        <v>60</v>
      </c>
      <c r="G20" s="161">
        <v>0</v>
      </c>
      <c r="H20" s="161" t="s">
        <v>1615</v>
      </c>
    </row>
    <row r="21" spans="1:8" ht="15" customHeight="1">
      <c r="A21" s="180" t="s">
        <v>60</v>
      </c>
      <c r="B21" s="155" t="s">
        <v>1645</v>
      </c>
      <c r="C21" s="156" t="s">
        <v>353</v>
      </c>
      <c r="D21" s="156" t="s">
        <v>1646</v>
      </c>
      <c r="E21" s="157" t="s">
        <v>160</v>
      </c>
      <c r="F21" s="157">
        <v>60</v>
      </c>
      <c r="G21" s="157">
        <v>0</v>
      </c>
      <c r="H21" s="157" t="s">
        <v>1615</v>
      </c>
    </row>
    <row r="22" spans="1:8" ht="15" customHeight="1">
      <c r="A22" s="181" t="s">
        <v>61</v>
      </c>
      <c r="B22" s="160" t="s">
        <v>1647</v>
      </c>
      <c r="C22" s="158" t="s">
        <v>353</v>
      </c>
      <c r="D22" s="158" t="s">
        <v>1648</v>
      </c>
      <c r="E22" s="161" t="s">
        <v>160</v>
      </c>
      <c r="F22" s="161">
        <v>60</v>
      </c>
      <c r="G22" s="161">
        <v>0</v>
      </c>
      <c r="H22" s="161" t="s">
        <v>1615</v>
      </c>
    </row>
    <row r="23" spans="1:8" ht="15" customHeight="1">
      <c r="A23" s="182" t="s">
        <v>63</v>
      </c>
      <c r="B23" s="155" t="s">
        <v>1649</v>
      </c>
      <c r="C23" s="156" t="s">
        <v>353</v>
      </c>
      <c r="D23" s="156" t="s">
        <v>1650</v>
      </c>
      <c r="E23" s="157" t="s">
        <v>160</v>
      </c>
      <c r="F23" s="157">
        <v>500</v>
      </c>
      <c r="G23" s="157">
        <v>0</v>
      </c>
      <c r="H23" s="157" t="s">
        <v>1615</v>
      </c>
    </row>
    <row r="24" spans="1:8" ht="15" customHeight="1">
      <c r="A24" s="183" t="s">
        <v>64</v>
      </c>
      <c r="B24" s="160" t="s">
        <v>1651</v>
      </c>
      <c r="C24" s="158" t="s">
        <v>353</v>
      </c>
      <c r="D24" s="158" t="s">
        <v>1652</v>
      </c>
      <c r="E24" s="161" t="s">
        <v>293</v>
      </c>
      <c r="F24" s="161">
        <v>14</v>
      </c>
      <c r="G24" s="161">
        <v>0</v>
      </c>
      <c r="H24" s="161" t="s">
        <v>1615</v>
      </c>
    </row>
    <row r="25" spans="1:8" ht="15" customHeight="1">
      <c r="A25" s="184" t="s">
        <v>1469</v>
      </c>
      <c r="B25" s="155" t="s">
        <v>1653</v>
      </c>
      <c r="C25" s="156" t="s">
        <v>353</v>
      </c>
      <c r="D25" s="156" t="s">
        <v>1654</v>
      </c>
      <c r="E25" s="157" t="s">
        <v>160</v>
      </c>
      <c r="F25" s="157">
        <v>2000</v>
      </c>
      <c r="G25" s="157">
        <v>0</v>
      </c>
      <c r="H25" s="157" t="s">
        <v>1615</v>
      </c>
    </row>
    <row r="26" spans="1:8" ht="15" customHeight="1">
      <c r="A26" s="185" t="s">
        <v>1475</v>
      </c>
      <c r="B26" s="160" t="s">
        <v>1655</v>
      </c>
      <c r="C26" s="158" t="s">
        <v>353</v>
      </c>
      <c r="D26" s="158" t="s">
        <v>1656</v>
      </c>
      <c r="E26" s="161" t="s">
        <v>160</v>
      </c>
      <c r="F26" s="161">
        <v>400</v>
      </c>
      <c r="G26" s="161">
        <v>0</v>
      </c>
      <c r="H26" s="161" t="s">
        <v>1615</v>
      </c>
    </row>
    <row r="27" spans="1:8" ht="15" customHeight="1">
      <c r="A27" s="186" t="s">
        <v>778</v>
      </c>
      <c r="B27" s="155" t="s">
        <v>1657</v>
      </c>
      <c r="C27" s="156" t="s">
        <v>353</v>
      </c>
      <c r="D27" s="156" t="s">
        <v>1658</v>
      </c>
      <c r="E27" s="157" t="s">
        <v>160</v>
      </c>
      <c r="F27" s="157">
        <v>400</v>
      </c>
      <c r="G27" s="157">
        <v>0</v>
      </c>
      <c r="H27" s="157" t="s">
        <v>1615</v>
      </c>
    </row>
    <row r="28" spans="1:8" ht="15" customHeight="1">
      <c r="A28" s="187" t="s">
        <v>830</v>
      </c>
      <c r="B28" s="160" t="s">
        <v>1659</v>
      </c>
      <c r="C28" s="158" t="s">
        <v>353</v>
      </c>
      <c r="D28" s="158" t="s">
        <v>1660</v>
      </c>
      <c r="E28" s="161" t="s">
        <v>160</v>
      </c>
      <c r="F28" s="161">
        <v>200</v>
      </c>
      <c r="G28" s="161">
        <v>0</v>
      </c>
      <c r="H28" s="161" t="s">
        <v>1615</v>
      </c>
    </row>
    <row r="29" spans="1:8" ht="15" customHeight="1">
      <c r="A29" s="188" t="s">
        <v>1459</v>
      </c>
      <c r="B29" s="155" t="s">
        <v>1661</v>
      </c>
      <c r="C29" s="156" t="s">
        <v>353</v>
      </c>
      <c r="D29" s="156" t="s">
        <v>1662</v>
      </c>
      <c r="E29" s="157" t="s">
        <v>160</v>
      </c>
      <c r="F29" s="157">
        <v>500</v>
      </c>
      <c r="G29" s="157">
        <v>0</v>
      </c>
      <c r="H29" s="157" t="s">
        <v>1615</v>
      </c>
    </row>
    <row r="30" spans="1:8" ht="15" customHeight="1">
      <c r="A30" s="189" t="s">
        <v>766</v>
      </c>
      <c r="B30" s="160" t="s">
        <v>1663</v>
      </c>
      <c r="C30" s="158" t="s">
        <v>353</v>
      </c>
      <c r="D30" s="158" t="s">
        <v>1664</v>
      </c>
      <c r="E30" s="161" t="s">
        <v>160</v>
      </c>
      <c r="F30" s="161">
        <v>100</v>
      </c>
      <c r="G30" s="161">
        <v>0</v>
      </c>
      <c r="H30" s="161" t="s">
        <v>1615</v>
      </c>
    </row>
    <row r="31" spans="1:8" ht="15" customHeight="1">
      <c r="A31" s="190" t="s">
        <v>1556</v>
      </c>
      <c r="B31" s="155" t="s">
        <v>1665</v>
      </c>
      <c r="C31" s="156" t="s">
        <v>353</v>
      </c>
      <c r="D31" s="156" t="s">
        <v>1666</v>
      </c>
      <c r="E31" s="157" t="s">
        <v>160</v>
      </c>
      <c r="F31" s="157">
        <v>200</v>
      </c>
      <c r="G31" s="157">
        <v>0</v>
      </c>
      <c r="H31" s="157" t="s">
        <v>1615</v>
      </c>
    </row>
    <row r="32" spans="1:8" ht="15" customHeight="1">
      <c r="A32" s="191" t="s">
        <v>224</v>
      </c>
      <c r="B32" s="160" t="s">
        <v>1667</v>
      </c>
      <c r="C32" s="158" t="s">
        <v>353</v>
      </c>
      <c r="D32" s="158" t="s">
        <v>1668</v>
      </c>
      <c r="E32" s="161" t="s">
        <v>160</v>
      </c>
      <c r="F32" s="161">
        <v>800</v>
      </c>
      <c r="G32" s="161">
        <v>0</v>
      </c>
      <c r="H32" s="161" t="s">
        <v>1615</v>
      </c>
    </row>
    <row r="33" spans="1:8" ht="15" customHeight="1">
      <c r="A33" s="192" t="s">
        <v>840</v>
      </c>
      <c r="B33" s="155" t="s">
        <v>1669</v>
      </c>
      <c r="C33" s="156" t="s">
        <v>353</v>
      </c>
      <c r="D33" s="156" t="s">
        <v>1615</v>
      </c>
      <c r="E33" s="157" t="s">
        <v>1615</v>
      </c>
      <c r="F33" s="157">
        <v>0</v>
      </c>
      <c r="G33" s="157">
        <v>0</v>
      </c>
      <c r="H33" s="157" t="s">
        <v>1615</v>
      </c>
    </row>
    <row r="34" spans="1:8" ht="15" customHeight="1">
      <c r="A34" s="193" t="s">
        <v>70</v>
      </c>
      <c r="B34" s="160" t="s">
        <v>1670</v>
      </c>
      <c r="C34" s="158" t="s">
        <v>353</v>
      </c>
      <c r="D34" s="158" t="s">
        <v>1671</v>
      </c>
      <c r="E34" s="161" t="s">
        <v>293</v>
      </c>
      <c r="F34" s="161">
        <v>14</v>
      </c>
      <c r="G34" s="161">
        <v>0</v>
      </c>
      <c r="H34" s="161" t="s">
        <v>1615</v>
      </c>
    </row>
    <row r="35" spans="1:8" ht="15" customHeight="1">
      <c r="A35" s="194" t="s">
        <v>71</v>
      </c>
      <c r="B35" s="155" t="s">
        <v>1672</v>
      </c>
      <c r="C35" s="156" t="s">
        <v>353</v>
      </c>
      <c r="D35" s="156" t="s">
        <v>1673</v>
      </c>
      <c r="E35" s="157" t="s">
        <v>160</v>
      </c>
      <c r="F35" s="157">
        <v>20000</v>
      </c>
      <c r="G35" s="157">
        <v>0</v>
      </c>
      <c r="H35" s="157" t="s">
        <v>1615</v>
      </c>
    </row>
    <row r="36" spans="1:8" ht="15" customHeight="1">
      <c r="A36" s="195" t="s">
        <v>72</v>
      </c>
      <c r="B36" s="160" t="s">
        <v>1674</v>
      </c>
      <c r="C36" s="158" t="s">
        <v>353</v>
      </c>
      <c r="D36" s="158" t="s">
        <v>1675</v>
      </c>
      <c r="E36" s="161" t="s">
        <v>160</v>
      </c>
      <c r="F36" s="161">
        <v>2500</v>
      </c>
      <c r="G36" s="161">
        <v>0</v>
      </c>
      <c r="H36" s="161" t="s">
        <v>1615</v>
      </c>
    </row>
    <row r="37" spans="1:8" ht="15" customHeight="1">
      <c r="A37" s="196" t="s">
        <v>47</v>
      </c>
      <c r="B37" s="160" t="s">
        <v>1676</v>
      </c>
      <c r="C37" s="158" t="s">
        <v>353</v>
      </c>
      <c r="D37" s="158" t="s">
        <v>1615</v>
      </c>
      <c r="E37" s="161" t="s">
        <v>1615</v>
      </c>
      <c r="F37" s="161">
        <v>0</v>
      </c>
      <c r="G37" s="161">
        <v>0</v>
      </c>
      <c r="H37" s="161" t="s">
        <v>1615</v>
      </c>
    </row>
    <row r="38" spans="1:8" ht="15" customHeight="1">
      <c r="A38" s="197" t="s">
        <v>34</v>
      </c>
      <c r="B38" s="160" t="s">
        <v>1677</v>
      </c>
      <c r="C38" s="158" t="s">
        <v>353</v>
      </c>
      <c r="D38" s="158" t="s">
        <v>1678</v>
      </c>
      <c r="E38" s="161" t="s">
        <v>1679</v>
      </c>
      <c r="F38" s="161">
        <v>199</v>
      </c>
      <c r="G38" s="161">
        <v>0</v>
      </c>
      <c r="H38" s="161" t="s">
        <v>1615</v>
      </c>
    </row>
    <row r="39" spans="1:8" ht="15" customHeight="1">
      <c r="A39" s="198" t="s">
        <v>35</v>
      </c>
      <c r="B39" s="155" t="s">
        <v>1680</v>
      </c>
      <c r="C39" s="156" t="s">
        <v>353</v>
      </c>
      <c r="D39" s="156" t="s">
        <v>1681</v>
      </c>
      <c r="E39" s="157" t="s">
        <v>160</v>
      </c>
      <c r="F39" s="157">
        <v>60</v>
      </c>
      <c r="G39" s="157">
        <v>0</v>
      </c>
      <c r="H39" s="157" t="s">
        <v>1615</v>
      </c>
    </row>
    <row r="40" spans="1:8" ht="15" customHeight="1">
      <c r="A40" s="199" t="s">
        <v>41</v>
      </c>
      <c r="B40" s="160" t="s">
        <v>1682</v>
      </c>
      <c r="C40" s="158" t="s">
        <v>353</v>
      </c>
      <c r="D40" s="158" t="s">
        <v>1683</v>
      </c>
      <c r="E40" s="161" t="s">
        <v>160</v>
      </c>
      <c r="F40" s="161">
        <v>100000</v>
      </c>
      <c r="G40" s="161">
        <v>0</v>
      </c>
      <c r="H40" s="161" t="s">
        <v>1615</v>
      </c>
    </row>
    <row r="41" spans="1:8" ht="15" customHeight="1">
      <c r="A41" s="200" t="s">
        <v>1481</v>
      </c>
      <c r="B41" s="155" t="s">
        <v>1684</v>
      </c>
      <c r="C41" s="156" t="s">
        <v>353</v>
      </c>
      <c r="D41" s="156" t="s">
        <v>1685</v>
      </c>
      <c r="E41" s="157" t="s">
        <v>160</v>
      </c>
      <c r="F41" s="157">
        <v>10000</v>
      </c>
      <c r="G41" s="157">
        <v>3</v>
      </c>
      <c r="H41" s="157" t="s">
        <v>1686</v>
      </c>
    </row>
    <row r="42" spans="1:8" ht="15" customHeight="1">
      <c r="A42" s="201" t="s">
        <v>45</v>
      </c>
      <c r="B42" s="160" t="s">
        <v>1687</v>
      </c>
      <c r="C42" s="158" t="s">
        <v>353</v>
      </c>
      <c r="D42" s="158" t="s">
        <v>1615</v>
      </c>
      <c r="E42" s="161" t="s">
        <v>160</v>
      </c>
      <c r="F42" s="161">
        <v>2500</v>
      </c>
      <c r="G42" s="161">
        <v>0</v>
      </c>
      <c r="H42" s="161" t="s">
        <v>1615</v>
      </c>
    </row>
    <row r="43" spans="1:8" ht="15" customHeight="1">
      <c r="A43" s="202" t="s">
        <v>58</v>
      </c>
      <c r="B43" s="155" t="s">
        <v>1688</v>
      </c>
      <c r="C43" s="156" t="s">
        <v>353</v>
      </c>
      <c r="D43" s="156" t="s">
        <v>1689</v>
      </c>
      <c r="E43" s="157" t="s">
        <v>293</v>
      </c>
      <c r="F43" s="157">
        <v>10</v>
      </c>
      <c r="G43" s="157">
        <v>0</v>
      </c>
      <c r="H43" s="157" t="s">
        <v>1615</v>
      </c>
    </row>
    <row r="44" spans="1:8" ht="15" customHeight="1">
      <c r="A44" s="203" t="s">
        <v>62</v>
      </c>
      <c r="B44" s="160" t="s">
        <v>1690</v>
      </c>
      <c r="C44" s="158" t="s">
        <v>353</v>
      </c>
      <c r="D44" s="158" t="s">
        <v>1691</v>
      </c>
      <c r="E44" s="161" t="s">
        <v>293</v>
      </c>
      <c r="F44" s="161">
        <v>4</v>
      </c>
      <c r="G44" s="161">
        <v>0</v>
      </c>
      <c r="H44" s="161" t="s">
        <v>1615</v>
      </c>
    </row>
    <row r="45" spans="1:8" ht="15" customHeight="1">
      <c r="A45" s="204" t="s">
        <v>46</v>
      </c>
      <c r="B45" s="155" t="s">
        <v>1692</v>
      </c>
      <c r="C45" s="156" t="s">
        <v>353</v>
      </c>
      <c r="D45" s="156" t="s">
        <v>1615</v>
      </c>
      <c r="E45" s="157" t="s">
        <v>1615</v>
      </c>
      <c r="F45" s="157">
        <v>0</v>
      </c>
      <c r="G45" s="157">
        <v>0</v>
      </c>
      <c r="H45" s="157" t="s">
        <v>1615</v>
      </c>
    </row>
    <row r="46" spans="1:8" ht="15" customHeight="1">
      <c r="A46" s="205" t="s">
        <v>56</v>
      </c>
      <c r="B46" s="160" t="s">
        <v>1693</v>
      </c>
      <c r="C46" s="158" t="s">
        <v>353</v>
      </c>
      <c r="D46" s="158" t="s">
        <v>1694</v>
      </c>
      <c r="E46" s="161" t="s">
        <v>160</v>
      </c>
      <c r="F46" s="161">
        <v>600</v>
      </c>
      <c r="G46" s="161">
        <v>0</v>
      </c>
      <c r="H46" s="161" t="s">
        <v>1615</v>
      </c>
    </row>
    <row r="47" spans="1:8" ht="15" customHeight="1">
      <c r="A47" s="206" t="s">
        <v>49</v>
      </c>
      <c r="B47" s="155" t="s">
        <v>1695</v>
      </c>
      <c r="C47" s="156" t="s">
        <v>353</v>
      </c>
      <c r="D47" s="156" t="s">
        <v>1615</v>
      </c>
      <c r="E47" s="157" t="s">
        <v>1615</v>
      </c>
      <c r="F47" s="157">
        <v>0</v>
      </c>
      <c r="G47" s="157">
        <v>0</v>
      </c>
      <c r="H47" s="157" t="s">
        <v>1615</v>
      </c>
    </row>
    <row r="48" spans="1:8" ht="15" customHeight="1">
      <c r="A48" s="207" t="s">
        <v>1696</v>
      </c>
      <c r="B48" s="160" t="s">
        <v>1697</v>
      </c>
      <c r="C48" s="158" t="s">
        <v>353</v>
      </c>
      <c r="D48" s="158" t="s">
        <v>1615</v>
      </c>
      <c r="E48" s="161" t="s">
        <v>1615</v>
      </c>
      <c r="F48" s="161">
        <v>0</v>
      </c>
      <c r="G48" s="161">
        <v>0</v>
      </c>
      <c r="H48" s="161" t="s">
        <v>1615</v>
      </c>
    </row>
    <row r="49" spans="1:8" ht="189">
      <c r="A49" s="208" t="s">
        <v>1698</v>
      </c>
      <c r="B49" s="155" t="s">
        <v>1699</v>
      </c>
      <c r="C49" s="156" t="s">
        <v>353</v>
      </c>
      <c r="D49" s="156" t="s">
        <v>1700</v>
      </c>
      <c r="E49" s="157" t="s">
        <v>293</v>
      </c>
      <c r="F49" s="157">
        <v>14</v>
      </c>
      <c r="G49" s="157">
        <v>0</v>
      </c>
      <c r="H49" s="157" t="s">
        <v>1615</v>
      </c>
    </row>
    <row r="50" spans="1:8" ht="94.5">
      <c r="A50" s="209" t="s">
        <v>73</v>
      </c>
      <c r="B50" s="160" t="s">
        <v>1701</v>
      </c>
      <c r="C50" s="158" t="s">
        <v>353</v>
      </c>
      <c r="D50" s="158" t="s">
        <v>1702</v>
      </c>
      <c r="E50" s="161" t="s">
        <v>160</v>
      </c>
      <c r="F50" s="161">
        <v>300</v>
      </c>
      <c r="G50" s="161">
        <v>0</v>
      </c>
      <c r="H50" s="161" t="s">
        <v>1615</v>
      </c>
    </row>
    <row r="51" spans="1:8" ht="31.5">
      <c r="A51" s="210" t="s">
        <v>798</v>
      </c>
      <c r="B51" s="155" t="s">
        <v>1703</v>
      </c>
      <c r="C51" s="156" t="s">
        <v>353</v>
      </c>
      <c r="D51" s="156" t="s">
        <v>1615</v>
      </c>
      <c r="E51" s="157" t="s">
        <v>1615</v>
      </c>
      <c r="F51" s="157">
        <v>0</v>
      </c>
      <c r="G51" s="157">
        <v>0</v>
      </c>
      <c r="H51" s="157" t="s">
        <v>1615</v>
      </c>
    </row>
    <row r="52" spans="1:8" ht="126">
      <c r="A52" s="211" t="s">
        <v>75</v>
      </c>
      <c r="B52" s="160" t="s">
        <v>1704</v>
      </c>
      <c r="C52" s="158" t="s">
        <v>353</v>
      </c>
      <c r="D52" s="158" t="s">
        <v>1615</v>
      </c>
      <c r="E52" s="161" t="s">
        <v>1615</v>
      </c>
      <c r="F52" s="161">
        <v>0</v>
      </c>
      <c r="G52" s="161">
        <v>0</v>
      </c>
      <c r="H52" s="161" t="s">
        <v>1615</v>
      </c>
    </row>
    <row r="53" spans="1:8" ht="31.5">
      <c r="A53" s="212" t="s">
        <v>1705</v>
      </c>
      <c r="B53" s="155" t="s">
        <v>1706</v>
      </c>
      <c r="C53" s="156" t="s">
        <v>353</v>
      </c>
      <c r="D53" s="156" t="s">
        <v>1615</v>
      </c>
      <c r="E53" s="157" t="s">
        <v>1615</v>
      </c>
      <c r="F53" s="157">
        <v>0</v>
      </c>
      <c r="G53" s="157">
        <v>0</v>
      </c>
      <c r="H53" s="157" t="s">
        <v>1615</v>
      </c>
    </row>
    <row r="54" spans="1:8" ht="204.75">
      <c r="A54" s="213" t="s">
        <v>1707</v>
      </c>
      <c r="B54" s="160" t="s">
        <v>1708</v>
      </c>
      <c r="C54" s="158" t="s">
        <v>353</v>
      </c>
      <c r="D54" s="158" t="s">
        <v>1709</v>
      </c>
      <c r="E54" s="161" t="s">
        <v>160</v>
      </c>
      <c r="F54" s="161">
        <v>2500</v>
      </c>
      <c r="G54" s="161">
        <v>0</v>
      </c>
      <c r="H54" s="161" t="s">
        <v>1615</v>
      </c>
    </row>
  </sheetData>
  <phoneticPr fontId="15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627"/>
  <sheetViews>
    <sheetView workbookViewId="0"/>
  </sheetViews>
  <sheetFormatPr defaultColWidth="41" defaultRowHeight="15.75"/>
  <sheetData>
    <row r="1" spans="1:101">
      <c r="A1" t="s">
        <v>331</v>
      </c>
      <c r="B1" t="s">
        <v>354</v>
      </c>
      <c r="C1" t="s">
        <v>607</v>
      </c>
      <c r="D1" t="s">
        <v>621</v>
      </c>
      <c r="E1" t="s">
        <v>624</v>
      </c>
      <c r="F1" t="s">
        <v>629</v>
      </c>
      <c r="G1" t="s">
        <v>623</v>
      </c>
      <c r="H1" t="s">
        <v>635</v>
      </c>
      <c r="I1" t="s">
        <v>637</v>
      </c>
      <c r="J1" t="s">
        <v>638</v>
      </c>
      <c r="K1" t="s">
        <v>639</v>
      </c>
      <c r="L1" t="s">
        <v>642</v>
      </c>
      <c r="M1" t="s">
        <v>643</v>
      </c>
      <c r="N1" t="s">
        <v>645</v>
      </c>
      <c r="O1" t="s">
        <v>651</v>
      </c>
      <c r="P1" t="s">
        <v>647</v>
      </c>
      <c r="Q1" t="s">
        <v>654</v>
      </c>
      <c r="R1" t="s">
        <v>655</v>
      </c>
      <c r="S1" t="s">
        <v>656</v>
      </c>
      <c r="T1" t="s">
        <v>657</v>
      </c>
      <c r="U1" t="s">
        <v>662</v>
      </c>
      <c r="V1" t="s">
        <v>628</v>
      </c>
      <c r="W1" t="s">
        <v>664</v>
      </c>
      <c r="X1" t="s">
        <v>665</v>
      </c>
      <c r="Y1" t="s">
        <v>668</v>
      </c>
      <c r="Z1" t="s">
        <v>730</v>
      </c>
      <c r="AA1" t="s">
        <v>731</v>
      </c>
      <c r="AB1" t="s">
        <v>733</v>
      </c>
      <c r="AC1" t="s">
        <v>737</v>
      </c>
      <c r="AD1" t="s">
        <v>738</v>
      </c>
      <c r="AE1" t="s">
        <v>739</v>
      </c>
      <c r="AF1" t="s">
        <v>742</v>
      </c>
      <c r="AG1" t="s">
        <v>743</v>
      </c>
      <c r="AH1" t="s">
        <v>746</v>
      </c>
      <c r="AI1" t="s">
        <v>747</v>
      </c>
      <c r="AJ1" t="s">
        <v>750</v>
      </c>
      <c r="AK1" t="s">
        <v>753</v>
      </c>
      <c r="AL1" t="s">
        <v>755</v>
      </c>
      <c r="AM1" t="s">
        <v>758</v>
      </c>
      <c r="AN1" t="s">
        <v>759</v>
      </c>
      <c r="AO1" t="s">
        <v>761</v>
      </c>
      <c r="AP1" t="s">
        <v>763</v>
      </c>
      <c r="AQ1" t="s">
        <v>765</v>
      </c>
      <c r="AR1" t="s">
        <v>770</v>
      </c>
      <c r="AS1" t="s">
        <v>775</v>
      </c>
      <c r="AT1" t="s">
        <v>777</v>
      </c>
      <c r="AU1" t="s">
        <v>780</v>
      </c>
      <c r="AV1" t="s">
        <v>784</v>
      </c>
      <c r="AW1" t="s">
        <v>786</v>
      </c>
      <c r="AX1" t="s">
        <v>790</v>
      </c>
      <c r="AY1" t="s">
        <v>792</v>
      </c>
      <c r="AZ1" t="s">
        <v>794</v>
      </c>
      <c r="BA1" t="s">
        <v>797</v>
      </c>
      <c r="BB1" t="s">
        <v>808</v>
      </c>
      <c r="BC1" t="s">
        <v>810</v>
      </c>
      <c r="BD1" t="s">
        <v>813</v>
      </c>
      <c r="BE1" t="s">
        <v>815</v>
      </c>
      <c r="BF1" t="s">
        <v>817</v>
      </c>
      <c r="BG1" t="s">
        <v>820</v>
      </c>
      <c r="BH1" t="s">
        <v>824</v>
      </c>
      <c r="BI1" t="s">
        <v>827</v>
      </c>
      <c r="BJ1" t="s">
        <v>829</v>
      </c>
      <c r="BK1" t="s">
        <v>831</v>
      </c>
      <c r="BL1" t="s">
        <v>833</v>
      </c>
      <c r="BM1" t="s">
        <v>836</v>
      </c>
      <c r="BN1" t="s">
        <v>837</v>
      </c>
      <c r="BO1" t="s">
        <v>839</v>
      </c>
      <c r="BP1" t="s">
        <v>1447</v>
      </c>
      <c r="BQ1" t="s">
        <v>1449</v>
      </c>
      <c r="BR1" t="s">
        <v>1455</v>
      </c>
      <c r="BS1" t="s">
        <v>1458</v>
      </c>
      <c r="BT1" t="s">
        <v>1460</v>
      </c>
      <c r="BU1" t="s">
        <v>1462</v>
      </c>
      <c r="BV1" t="s">
        <v>1464</v>
      </c>
      <c r="BW1" t="s">
        <v>1466</v>
      </c>
      <c r="BX1" t="s">
        <v>1468</v>
      </c>
      <c r="BY1" t="s">
        <v>1471</v>
      </c>
      <c r="BZ1" t="s">
        <v>1472</v>
      </c>
      <c r="CA1" t="s">
        <v>1474</v>
      </c>
      <c r="CB1" t="s">
        <v>1476</v>
      </c>
      <c r="CC1" t="s">
        <v>1479</v>
      </c>
      <c r="CD1" t="s">
        <v>1480</v>
      </c>
      <c r="CE1" t="s">
        <v>1483</v>
      </c>
      <c r="CF1" t="s">
        <v>1485</v>
      </c>
      <c r="CG1" t="s">
        <v>1486</v>
      </c>
      <c r="CH1" t="s">
        <v>1487</v>
      </c>
      <c r="CI1" t="s">
        <v>1504</v>
      </c>
      <c r="CJ1" t="s">
        <v>1505</v>
      </c>
      <c r="CK1" t="s">
        <v>1507</v>
      </c>
      <c r="CL1" t="s">
        <v>1510</v>
      </c>
      <c r="CM1" t="s">
        <v>1514</v>
      </c>
      <c r="CN1" t="s">
        <v>1538</v>
      </c>
      <c r="CO1" t="s">
        <v>1545</v>
      </c>
      <c r="CP1" t="s">
        <v>1547</v>
      </c>
      <c r="CQ1" t="s">
        <v>1549</v>
      </c>
      <c r="CR1" t="s">
        <v>1550</v>
      </c>
      <c r="CS1" t="s">
        <v>1552</v>
      </c>
      <c r="CT1" t="s">
        <v>1554</v>
      </c>
      <c r="CU1" t="s">
        <v>1555</v>
      </c>
      <c r="CV1" t="s">
        <v>1558</v>
      </c>
      <c r="CW1" t="s">
        <v>1560</v>
      </c>
    </row>
    <row r="2" spans="1:101">
      <c r="A2" t="s">
        <v>332</v>
      </c>
      <c r="K2" t="s">
        <v>641</v>
      </c>
      <c r="T2" t="s">
        <v>641</v>
      </c>
      <c r="Y2" t="s">
        <v>641</v>
      </c>
      <c r="AA2" t="s">
        <v>641</v>
      </c>
      <c r="AW2" t="s">
        <v>789</v>
      </c>
      <c r="BH2" t="s">
        <v>826</v>
      </c>
      <c r="BL2" t="s">
        <v>826</v>
      </c>
      <c r="BQ2" t="s">
        <v>789</v>
      </c>
      <c r="CN2" t="s">
        <v>826</v>
      </c>
      <c r="CS2" t="s">
        <v>826</v>
      </c>
    </row>
    <row r="3" spans="1:101">
      <c r="A3" t="s">
        <v>333</v>
      </c>
      <c r="B3" t="s">
        <v>5</v>
      </c>
      <c r="C3" t="s">
        <v>608</v>
      </c>
      <c r="D3" t="s">
        <v>5</v>
      </c>
      <c r="E3" t="s">
        <v>5</v>
      </c>
      <c r="F3" t="s">
        <v>608</v>
      </c>
      <c r="G3" t="s">
        <v>608</v>
      </c>
      <c r="H3" t="s">
        <v>608</v>
      </c>
      <c r="I3" t="s">
        <v>608</v>
      </c>
      <c r="J3" t="s">
        <v>608</v>
      </c>
      <c r="K3" t="s">
        <v>608</v>
      </c>
      <c r="L3" t="s">
        <v>608</v>
      </c>
      <c r="M3" t="s">
        <v>608</v>
      </c>
      <c r="N3" t="s">
        <v>5</v>
      </c>
      <c r="O3" t="s">
        <v>5</v>
      </c>
      <c r="P3" t="s">
        <v>5</v>
      </c>
      <c r="Q3" t="s">
        <v>608</v>
      </c>
      <c r="R3" t="s">
        <v>608</v>
      </c>
      <c r="S3" t="s">
        <v>5</v>
      </c>
      <c r="T3" t="s">
        <v>608</v>
      </c>
      <c r="U3" t="s">
        <v>608</v>
      </c>
      <c r="V3" t="s">
        <v>608</v>
      </c>
      <c r="W3" t="s">
        <v>608</v>
      </c>
      <c r="X3" t="s">
        <v>5</v>
      </c>
      <c r="Y3" t="s">
        <v>608</v>
      </c>
      <c r="Z3" t="s">
        <v>5</v>
      </c>
      <c r="AA3" t="s">
        <v>608</v>
      </c>
      <c r="AB3" t="s">
        <v>735</v>
      </c>
      <c r="AC3" t="s">
        <v>608</v>
      </c>
      <c r="AD3" t="s">
        <v>735</v>
      </c>
      <c r="AE3" t="s">
        <v>735</v>
      </c>
      <c r="AF3" t="s">
        <v>5</v>
      </c>
      <c r="AG3" t="s">
        <v>5</v>
      </c>
      <c r="AH3" t="s">
        <v>608</v>
      </c>
      <c r="AI3" t="s">
        <v>735</v>
      </c>
      <c r="AJ3" t="s">
        <v>5</v>
      </c>
      <c r="AK3" t="s">
        <v>608</v>
      </c>
      <c r="AL3" t="s">
        <v>5</v>
      </c>
      <c r="AM3" t="s">
        <v>5</v>
      </c>
      <c r="AN3" t="s">
        <v>608</v>
      </c>
      <c r="AO3" t="s">
        <v>608</v>
      </c>
      <c r="AP3" t="s">
        <v>608</v>
      </c>
      <c r="AQ3" t="s">
        <v>608</v>
      </c>
      <c r="AR3" t="s">
        <v>5</v>
      </c>
      <c r="AS3" t="s">
        <v>5</v>
      </c>
      <c r="AT3" t="s">
        <v>608</v>
      </c>
      <c r="AU3" t="s">
        <v>608</v>
      </c>
      <c r="AV3" t="s">
        <v>608</v>
      </c>
      <c r="AW3" t="s">
        <v>608</v>
      </c>
      <c r="AX3" t="s">
        <v>5</v>
      </c>
      <c r="AY3" t="s">
        <v>5</v>
      </c>
      <c r="AZ3" t="s">
        <v>5</v>
      </c>
      <c r="BA3" t="s">
        <v>608</v>
      </c>
      <c r="BB3" t="s">
        <v>5</v>
      </c>
      <c r="BC3" t="s">
        <v>608</v>
      </c>
      <c r="BD3" t="s">
        <v>5</v>
      </c>
      <c r="BE3" t="s">
        <v>5</v>
      </c>
      <c r="BF3" t="s">
        <v>5</v>
      </c>
      <c r="BG3" t="s">
        <v>5</v>
      </c>
      <c r="BH3" t="s">
        <v>735</v>
      </c>
      <c r="BI3" t="s">
        <v>735</v>
      </c>
      <c r="BJ3" t="s">
        <v>608</v>
      </c>
      <c r="BK3" t="s">
        <v>608</v>
      </c>
      <c r="BL3" t="s">
        <v>735</v>
      </c>
      <c r="BM3" t="s">
        <v>608</v>
      </c>
      <c r="BN3" t="s">
        <v>5</v>
      </c>
      <c r="BO3" t="s">
        <v>608</v>
      </c>
      <c r="BP3" t="s">
        <v>608</v>
      </c>
      <c r="BQ3" t="s">
        <v>5</v>
      </c>
      <c r="BR3" t="s">
        <v>608</v>
      </c>
      <c r="BS3" t="s">
        <v>608</v>
      </c>
      <c r="BT3" t="s">
        <v>608</v>
      </c>
      <c r="BU3" t="s">
        <v>608</v>
      </c>
      <c r="BV3" t="s">
        <v>735</v>
      </c>
      <c r="BW3" t="s">
        <v>735</v>
      </c>
      <c r="BX3" t="s">
        <v>608</v>
      </c>
      <c r="BY3" t="s">
        <v>5</v>
      </c>
      <c r="BZ3" t="s">
        <v>608</v>
      </c>
      <c r="CA3" t="s">
        <v>608</v>
      </c>
      <c r="CB3" t="s">
        <v>608</v>
      </c>
      <c r="CC3" t="s">
        <v>5</v>
      </c>
      <c r="CD3" t="s">
        <v>5</v>
      </c>
      <c r="CE3" t="s">
        <v>608</v>
      </c>
      <c r="CF3" t="s">
        <v>5</v>
      </c>
      <c r="CG3" t="s">
        <v>608</v>
      </c>
      <c r="CH3" t="s">
        <v>608</v>
      </c>
      <c r="CI3" t="s">
        <v>5</v>
      </c>
      <c r="CJ3" t="s">
        <v>608</v>
      </c>
      <c r="CK3" t="s">
        <v>608</v>
      </c>
      <c r="CL3" t="s">
        <v>5</v>
      </c>
      <c r="CM3" t="s">
        <v>5</v>
      </c>
      <c r="CN3" t="s">
        <v>608</v>
      </c>
      <c r="CO3" t="s">
        <v>608</v>
      </c>
      <c r="CP3" t="s">
        <v>608</v>
      </c>
      <c r="CQ3" t="s">
        <v>5</v>
      </c>
      <c r="CR3" t="s">
        <v>608</v>
      </c>
      <c r="CS3" t="s">
        <v>735</v>
      </c>
      <c r="CT3" t="s">
        <v>5</v>
      </c>
      <c r="CU3" t="s">
        <v>608</v>
      </c>
      <c r="CV3" t="s">
        <v>608</v>
      </c>
      <c r="CW3" t="s">
        <v>5</v>
      </c>
    </row>
    <row r="4" spans="1:101">
      <c r="A4" t="s">
        <v>334</v>
      </c>
      <c r="B4" t="s">
        <v>354</v>
      </c>
      <c r="C4" t="s">
        <v>607</v>
      </c>
      <c r="D4" t="s">
        <v>622</v>
      </c>
      <c r="E4" t="s">
        <v>626</v>
      </c>
      <c r="F4" t="s">
        <v>629</v>
      </c>
      <c r="G4" t="s">
        <v>623</v>
      </c>
      <c r="H4" t="s">
        <v>635</v>
      </c>
      <c r="I4" t="s">
        <v>637</v>
      </c>
      <c r="J4" t="s">
        <v>638</v>
      </c>
      <c r="K4" t="s">
        <v>639</v>
      </c>
      <c r="L4" t="s">
        <v>642</v>
      </c>
      <c r="M4" t="s">
        <v>643</v>
      </c>
      <c r="N4" t="s">
        <v>646</v>
      </c>
      <c r="O4" t="s">
        <v>652</v>
      </c>
      <c r="P4" t="s">
        <v>647</v>
      </c>
      <c r="Q4" t="s">
        <v>654</v>
      </c>
      <c r="R4" t="s">
        <v>655</v>
      </c>
      <c r="S4" t="s">
        <v>656</v>
      </c>
      <c r="T4" t="s">
        <v>658</v>
      </c>
      <c r="U4" t="s">
        <v>662</v>
      </c>
      <c r="V4" t="s">
        <v>628</v>
      </c>
      <c r="W4" t="s">
        <v>664</v>
      </c>
      <c r="X4" t="s">
        <v>667</v>
      </c>
      <c r="Y4" t="s">
        <v>669</v>
      </c>
      <c r="Z4" t="s">
        <v>730</v>
      </c>
      <c r="AA4" t="s">
        <v>732</v>
      </c>
      <c r="AB4" t="s">
        <v>734</v>
      </c>
      <c r="AC4" t="s">
        <v>737</v>
      </c>
      <c r="AD4" t="s">
        <v>738</v>
      </c>
      <c r="AE4" t="s">
        <v>740</v>
      </c>
      <c r="AF4" t="s">
        <v>742</v>
      </c>
      <c r="AG4" t="s">
        <v>744</v>
      </c>
      <c r="AH4" t="s">
        <v>746</v>
      </c>
      <c r="AI4" t="s">
        <v>748</v>
      </c>
      <c r="AJ4" t="s">
        <v>752</v>
      </c>
      <c r="AK4" t="s">
        <v>754</v>
      </c>
      <c r="AL4" t="s">
        <v>757</v>
      </c>
      <c r="AM4" t="s">
        <v>758</v>
      </c>
      <c r="AN4" t="s">
        <v>759</v>
      </c>
      <c r="AO4" t="s">
        <v>762</v>
      </c>
      <c r="AP4" t="s">
        <v>764</v>
      </c>
      <c r="AQ4" t="s">
        <v>767</v>
      </c>
      <c r="AR4" t="s">
        <v>771</v>
      </c>
      <c r="AS4" t="s">
        <v>776</v>
      </c>
      <c r="AT4" t="s">
        <v>779</v>
      </c>
      <c r="AU4" t="s">
        <v>782</v>
      </c>
      <c r="AV4" t="s">
        <v>785</v>
      </c>
      <c r="AW4" t="s">
        <v>788</v>
      </c>
      <c r="AX4" t="s">
        <v>791</v>
      </c>
      <c r="AY4" t="s">
        <v>793</v>
      </c>
      <c r="AZ4" t="s">
        <v>795</v>
      </c>
      <c r="BA4" t="s">
        <v>799</v>
      </c>
      <c r="BB4" t="s">
        <v>796</v>
      </c>
      <c r="BC4" t="s">
        <v>812</v>
      </c>
      <c r="BD4" t="s">
        <v>814</v>
      </c>
      <c r="BE4" t="s">
        <v>816</v>
      </c>
      <c r="BF4" t="s">
        <v>818</v>
      </c>
      <c r="BG4" t="s">
        <v>771</v>
      </c>
      <c r="BH4" t="s">
        <v>825</v>
      </c>
      <c r="BI4" t="s">
        <v>828</v>
      </c>
      <c r="BJ4" t="s">
        <v>805</v>
      </c>
      <c r="BK4" t="s">
        <v>821</v>
      </c>
      <c r="BL4" t="s">
        <v>835</v>
      </c>
      <c r="BM4" t="s">
        <v>802</v>
      </c>
      <c r="BN4" t="s">
        <v>838</v>
      </c>
      <c r="BO4" t="s">
        <v>841</v>
      </c>
      <c r="BP4" t="s">
        <v>1448</v>
      </c>
      <c r="BQ4" t="s">
        <v>1450</v>
      </c>
      <c r="BR4" t="s">
        <v>1457</v>
      </c>
      <c r="BS4" t="s">
        <v>806</v>
      </c>
      <c r="BT4" t="s">
        <v>1461</v>
      </c>
      <c r="BU4" t="s">
        <v>1463</v>
      </c>
      <c r="BV4" t="s">
        <v>1465</v>
      </c>
      <c r="BW4" t="s">
        <v>1467</v>
      </c>
      <c r="BX4" t="s">
        <v>1470</v>
      </c>
      <c r="BY4" t="s">
        <v>801</v>
      </c>
      <c r="BZ4" t="s">
        <v>1473</v>
      </c>
      <c r="CA4" t="s">
        <v>804</v>
      </c>
      <c r="CB4" t="s">
        <v>1478</v>
      </c>
      <c r="CC4" t="s">
        <v>814</v>
      </c>
      <c r="CD4" t="s">
        <v>1482</v>
      </c>
      <c r="CE4" t="s">
        <v>1484</v>
      </c>
      <c r="CF4" t="s">
        <v>803</v>
      </c>
      <c r="CG4" t="s">
        <v>807</v>
      </c>
      <c r="CH4" t="s">
        <v>1489</v>
      </c>
      <c r="CI4" t="s">
        <v>814</v>
      </c>
      <c r="CJ4" t="s">
        <v>1506</v>
      </c>
      <c r="CK4" t="s">
        <v>1509</v>
      </c>
      <c r="CL4" t="s">
        <v>1511</v>
      </c>
      <c r="CM4" t="s">
        <v>1515</v>
      </c>
      <c r="CN4" t="s">
        <v>1540</v>
      </c>
      <c r="CO4" t="s">
        <v>772</v>
      </c>
      <c r="CP4" t="s">
        <v>800</v>
      </c>
      <c r="CQ4" t="s">
        <v>771</v>
      </c>
      <c r="CR4" t="s">
        <v>1551</v>
      </c>
      <c r="CS4" t="s">
        <v>1553</v>
      </c>
      <c r="CT4" t="s">
        <v>814</v>
      </c>
      <c r="CU4" t="s">
        <v>1557</v>
      </c>
      <c r="CV4" t="s">
        <v>1559</v>
      </c>
      <c r="CW4" t="s">
        <v>771</v>
      </c>
    </row>
    <row r="5" spans="1:101">
      <c r="A5" t="s">
        <v>335</v>
      </c>
      <c r="B5" t="s">
        <v>355</v>
      </c>
      <c r="C5" t="s">
        <v>355</v>
      </c>
      <c r="D5" t="s">
        <v>355</v>
      </c>
      <c r="E5" t="s">
        <v>627</v>
      </c>
      <c r="F5" t="s">
        <v>630</v>
      </c>
      <c r="G5" t="s">
        <v>632</v>
      </c>
      <c r="H5" t="s">
        <v>636</v>
      </c>
      <c r="I5" t="s">
        <v>632</v>
      </c>
      <c r="J5" t="s">
        <v>636</v>
      </c>
      <c r="K5" t="s">
        <v>632</v>
      </c>
      <c r="L5" t="s">
        <v>636</v>
      </c>
      <c r="M5" t="s">
        <v>632</v>
      </c>
      <c r="N5" t="s">
        <v>355</v>
      </c>
      <c r="O5" t="s">
        <v>355</v>
      </c>
      <c r="P5" t="s">
        <v>632</v>
      </c>
      <c r="Q5" t="s">
        <v>636</v>
      </c>
      <c r="R5" t="s">
        <v>636</v>
      </c>
      <c r="S5" t="s">
        <v>627</v>
      </c>
      <c r="T5" t="s">
        <v>355</v>
      </c>
      <c r="U5" t="s">
        <v>627</v>
      </c>
      <c r="V5" t="s">
        <v>632</v>
      </c>
      <c r="W5" t="s">
        <v>636</v>
      </c>
      <c r="X5" t="s">
        <v>627</v>
      </c>
      <c r="Y5" t="s">
        <v>355</v>
      </c>
      <c r="Z5" t="s">
        <v>355</v>
      </c>
      <c r="AA5" t="s">
        <v>355</v>
      </c>
      <c r="AB5" t="s">
        <v>736</v>
      </c>
      <c r="AC5" t="s">
        <v>736</v>
      </c>
      <c r="AD5" t="s">
        <v>630</v>
      </c>
      <c r="AE5" t="s">
        <v>741</v>
      </c>
      <c r="AF5" t="s">
        <v>355</v>
      </c>
      <c r="AG5" t="s">
        <v>355</v>
      </c>
      <c r="AH5" t="s">
        <v>636</v>
      </c>
      <c r="AI5" t="s">
        <v>355</v>
      </c>
      <c r="AJ5" t="s">
        <v>627</v>
      </c>
      <c r="AK5" t="s">
        <v>627</v>
      </c>
      <c r="AL5" t="s">
        <v>627</v>
      </c>
      <c r="AM5" t="s">
        <v>627</v>
      </c>
      <c r="AN5" t="s">
        <v>760</v>
      </c>
      <c r="AO5" t="s">
        <v>627</v>
      </c>
      <c r="AP5" t="s">
        <v>355</v>
      </c>
      <c r="AQ5" t="s">
        <v>355</v>
      </c>
      <c r="AR5" t="s">
        <v>355</v>
      </c>
      <c r="AS5" t="s">
        <v>355</v>
      </c>
      <c r="AT5" t="s">
        <v>355</v>
      </c>
      <c r="AU5" t="s">
        <v>355</v>
      </c>
      <c r="AV5" t="s">
        <v>736</v>
      </c>
      <c r="AW5" t="s">
        <v>355</v>
      </c>
      <c r="AX5" t="s">
        <v>736</v>
      </c>
      <c r="AY5" t="s">
        <v>636</v>
      </c>
      <c r="AZ5" t="s">
        <v>627</v>
      </c>
      <c r="BA5" t="s">
        <v>355</v>
      </c>
      <c r="BB5" t="s">
        <v>632</v>
      </c>
      <c r="BC5" t="s">
        <v>632</v>
      </c>
      <c r="BD5" t="s">
        <v>627</v>
      </c>
      <c r="BE5" t="s">
        <v>355</v>
      </c>
      <c r="BF5" t="s">
        <v>819</v>
      </c>
      <c r="BG5" t="s">
        <v>355</v>
      </c>
      <c r="BH5" t="s">
        <v>355</v>
      </c>
      <c r="BI5" t="s">
        <v>355</v>
      </c>
      <c r="BJ5" t="s">
        <v>355</v>
      </c>
      <c r="BK5" t="s">
        <v>627</v>
      </c>
      <c r="BL5" t="s">
        <v>355</v>
      </c>
      <c r="BM5" t="s">
        <v>736</v>
      </c>
      <c r="BN5" t="s">
        <v>355</v>
      </c>
      <c r="BO5" t="s">
        <v>355</v>
      </c>
      <c r="BP5" t="s">
        <v>355</v>
      </c>
      <c r="BQ5" t="s">
        <v>355</v>
      </c>
      <c r="BR5" t="s">
        <v>627</v>
      </c>
      <c r="BS5" t="s">
        <v>355</v>
      </c>
      <c r="BT5" t="s">
        <v>636</v>
      </c>
      <c r="BU5" t="s">
        <v>355</v>
      </c>
      <c r="BV5" t="s">
        <v>819</v>
      </c>
      <c r="BW5" t="s">
        <v>355</v>
      </c>
      <c r="BX5" t="s">
        <v>355</v>
      </c>
      <c r="BY5" t="s">
        <v>355</v>
      </c>
      <c r="BZ5" t="s">
        <v>819</v>
      </c>
      <c r="CA5" t="s">
        <v>355</v>
      </c>
      <c r="CB5" t="s">
        <v>355</v>
      </c>
      <c r="CC5" t="s">
        <v>627</v>
      </c>
      <c r="CD5" t="s">
        <v>355</v>
      </c>
      <c r="CE5" t="s">
        <v>355</v>
      </c>
      <c r="CF5" t="s">
        <v>736</v>
      </c>
      <c r="CG5" t="s">
        <v>355</v>
      </c>
      <c r="CH5" t="s">
        <v>355</v>
      </c>
      <c r="CI5" t="s">
        <v>627</v>
      </c>
      <c r="CJ5" t="s">
        <v>355</v>
      </c>
      <c r="CK5" t="s">
        <v>819</v>
      </c>
      <c r="CL5" t="s">
        <v>355</v>
      </c>
      <c r="CM5" t="s">
        <v>355</v>
      </c>
      <c r="CN5" t="s">
        <v>355</v>
      </c>
      <c r="CO5" t="s">
        <v>627</v>
      </c>
      <c r="CP5" t="s">
        <v>627</v>
      </c>
      <c r="CQ5" t="s">
        <v>355</v>
      </c>
      <c r="CR5" t="s">
        <v>355</v>
      </c>
      <c r="CS5" t="s">
        <v>355</v>
      </c>
      <c r="CT5" t="s">
        <v>627</v>
      </c>
      <c r="CU5" t="s">
        <v>355</v>
      </c>
      <c r="CV5" t="s">
        <v>355</v>
      </c>
      <c r="CW5" t="s">
        <v>355</v>
      </c>
    </row>
    <row r="6" spans="1:101">
      <c r="A6" t="s">
        <v>336</v>
      </c>
    </row>
    <row r="7" spans="1:101">
      <c r="A7" t="s">
        <v>337</v>
      </c>
      <c r="D7" t="s">
        <v>623</v>
      </c>
      <c r="E7" t="s">
        <v>628</v>
      </c>
      <c r="N7" t="s">
        <v>647</v>
      </c>
      <c r="O7" t="s">
        <v>647</v>
      </c>
      <c r="T7" t="s">
        <v>639</v>
      </c>
      <c r="X7" t="s">
        <v>628</v>
      </c>
      <c r="Y7" t="s">
        <v>639</v>
      </c>
      <c r="AA7" t="s">
        <v>639</v>
      </c>
      <c r="AB7" t="s">
        <v>637</v>
      </c>
      <c r="AE7" t="s">
        <v>637</v>
      </c>
      <c r="AG7" t="s">
        <v>623</v>
      </c>
      <c r="AI7" t="s">
        <v>637</v>
      </c>
      <c r="AJ7" t="s">
        <v>628</v>
      </c>
      <c r="AK7" t="s">
        <v>643</v>
      </c>
      <c r="AL7" t="s">
        <v>628</v>
      </c>
      <c r="AO7" t="s">
        <v>643</v>
      </c>
      <c r="AP7" t="s">
        <v>643</v>
      </c>
      <c r="AR7" t="s">
        <v>772</v>
      </c>
      <c r="AZ7" t="s">
        <v>796</v>
      </c>
      <c r="BD7" t="s">
        <v>772</v>
      </c>
      <c r="BG7" t="s">
        <v>821</v>
      </c>
      <c r="BZ7" t="s">
        <v>812</v>
      </c>
      <c r="CC7" t="s">
        <v>821</v>
      </c>
      <c r="CI7" t="s">
        <v>800</v>
      </c>
      <c r="CJ7" t="s">
        <v>812</v>
      </c>
      <c r="CM7" t="s">
        <v>796</v>
      </c>
      <c r="CQ7" t="s">
        <v>800</v>
      </c>
      <c r="CT7" t="s">
        <v>1457</v>
      </c>
      <c r="CW7" t="s">
        <v>1457</v>
      </c>
    </row>
    <row r="8" spans="1:101">
      <c r="A8" t="s">
        <v>338</v>
      </c>
      <c r="B8" t="s">
        <v>356</v>
      </c>
      <c r="C8" t="s">
        <v>356</v>
      </c>
      <c r="D8" t="s">
        <v>356</v>
      </c>
      <c r="E8" t="s">
        <v>356</v>
      </c>
      <c r="F8" t="s">
        <v>356</v>
      </c>
      <c r="G8" t="s">
        <v>356</v>
      </c>
      <c r="H8" t="s">
        <v>356</v>
      </c>
      <c r="I8" t="s">
        <v>356</v>
      </c>
      <c r="J8" t="s">
        <v>356</v>
      </c>
      <c r="K8" t="s">
        <v>356</v>
      </c>
      <c r="L8" t="s">
        <v>356</v>
      </c>
      <c r="M8" t="s">
        <v>356</v>
      </c>
      <c r="N8" t="s">
        <v>356</v>
      </c>
      <c r="O8" t="s">
        <v>356</v>
      </c>
      <c r="P8" t="s">
        <v>356</v>
      </c>
      <c r="Q8" t="s">
        <v>356</v>
      </c>
      <c r="R8" t="s">
        <v>356</v>
      </c>
      <c r="S8" t="s">
        <v>356</v>
      </c>
      <c r="T8" t="s">
        <v>356</v>
      </c>
      <c r="U8" t="s">
        <v>356</v>
      </c>
      <c r="V8" t="s">
        <v>356</v>
      </c>
      <c r="W8" t="s">
        <v>356</v>
      </c>
      <c r="X8" t="s">
        <v>356</v>
      </c>
      <c r="Y8" t="s">
        <v>356</v>
      </c>
      <c r="Z8" t="s">
        <v>356</v>
      </c>
      <c r="AA8" t="s">
        <v>356</v>
      </c>
      <c r="AB8" t="s">
        <v>356</v>
      </c>
      <c r="AC8" t="s">
        <v>356</v>
      </c>
      <c r="AD8" t="s">
        <v>356</v>
      </c>
      <c r="AE8" t="s">
        <v>356</v>
      </c>
      <c r="AF8" t="s">
        <v>356</v>
      </c>
      <c r="AG8" t="s">
        <v>356</v>
      </c>
      <c r="AH8" t="s">
        <v>356</v>
      </c>
      <c r="AI8" t="s">
        <v>356</v>
      </c>
      <c r="AJ8" t="s">
        <v>356</v>
      </c>
      <c r="AK8" t="s">
        <v>356</v>
      </c>
      <c r="AL8" t="s">
        <v>356</v>
      </c>
      <c r="AM8" t="s">
        <v>356</v>
      </c>
      <c r="AN8" t="s">
        <v>356</v>
      </c>
      <c r="AO8" t="s">
        <v>356</v>
      </c>
      <c r="AP8" t="s">
        <v>356</v>
      </c>
      <c r="AQ8" t="s">
        <v>768</v>
      </c>
      <c r="AR8" t="s">
        <v>768</v>
      </c>
      <c r="AS8" t="s">
        <v>768</v>
      </c>
      <c r="AT8" t="s">
        <v>768</v>
      </c>
      <c r="AU8" t="s">
        <v>768</v>
      </c>
      <c r="AV8" t="s">
        <v>768</v>
      </c>
      <c r="AW8" t="s">
        <v>768</v>
      </c>
      <c r="AX8" t="s">
        <v>768</v>
      </c>
      <c r="AY8" t="s">
        <v>768</v>
      </c>
      <c r="AZ8" t="s">
        <v>768</v>
      </c>
      <c r="BA8" t="s">
        <v>768</v>
      </c>
      <c r="BB8" t="s">
        <v>768</v>
      </c>
      <c r="BC8" t="s">
        <v>768</v>
      </c>
      <c r="BD8" t="s">
        <v>768</v>
      </c>
      <c r="BE8" t="s">
        <v>768</v>
      </c>
      <c r="BF8" t="s">
        <v>768</v>
      </c>
      <c r="BG8" t="s">
        <v>768</v>
      </c>
      <c r="BH8" t="s">
        <v>768</v>
      </c>
      <c r="BI8" t="s">
        <v>768</v>
      </c>
      <c r="BJ8" t="s">
        <v>768</v>
      </c>
      <c r="BK8" t="s">
        <v>768</v>
      </c>
      <c r="BL8" t="s">
        <v>768</v>
      </c>
      <c r="BM8" t="s">
        <v>768</v>
      </c>
      <c r="BN8" t="s">
        <v>768</v>
      </c>
      <c r="BO8" t="s">
        <v>768</v>
      </c>
      <c r="BP8" t="s">
        <v>768</v>
      </c>
      <c r="BQ8" t="s">
        <v>768</v>
      </c>
      <c r="BR8" t="s">
        <v>768</v>
      </c>
      <c r="BS8" t="s">
        <v>768</v>
      </c>
      <c r="BT8" t="s">
        <v>768</v>
      </c>
      <c r="BU8" t="s">
        <v>768</v>
      </c>
      <c r="BV8" t="s">
        <v>768</v>
      </c>
      <c r="BW8" t="s">
        <v>768</v>
      </c>
      <c r="BX8" t="s">
        <v>768</v>
      </c>
      <c r="BY8" t="s">
        <v>768</v>
      </c>
      <c r="BZ8" t="s">
        <v>768</v>
      </c>
      <c r="CA8" t="s">
        <v>768</v>
      </c>
      <c r="CB8" t="s">
        <v>768</v>
      </c>
      <c r="CC8" t="s">
        <v>768</v>
      </c>
      <c r="CD8" t="s">
        <v>768</v>
      </c>
      <c r="CE8" t="s">
        <v>768</v>
      </c>
      <c r="CF8" t="s">
        <v>768</v>
      </c>
      <c r="CG8" t="s">
        <v>768</v>
      </c>
      <c r="CH8" t="s">
        <v>768</v>
      </c>
      <c r="CI8" t="s">
        <v>768</v>
      </c>
      <c r="CJ8" t="s">
        <v>768</v>
      </c>
      <c r="CK8" t="s">
        <v>768</v>
      </c>
      <c r="CL8" t="s">
        <v>768</v>
      </c>
      <c r="CM8" t="s">
        <v>768</v>
      </c>
      <c r="CN8" t="s">
        <v>768</v>
      </c>
      <c r="CO8" t="s">
        <v>768</v>
      </c>
      <c r="CP8" t="s">
        <v>768</v>
      </c>
      <c r="CQ8" t="s">
        <v>768</v>
      </c>
      <c r="CR8" t="s">
        <v>768</v>
      </c>
      <c r="CS8" t="s">
        <v>768</v>
      </c>
      <c r="CT8" t="s">
        <v>768</v>
      </c>
      <c r="CU8" t="s">
        <v>768</v>
      </c>
      <c r="CV8" t="s">
        <v>768</v>
      </c>
      <c r="CW8" t="s">
        <v>768</v>
      </c>
    </row>
    <row r="9" spans="1:101">
      <c r="A9" t="s">
        <v>339</v>
      </c>
      <c r="B9" t="s">
        <v>356</v>
      </c>
      <c r="C9" t="s">
        <v>356</v>
      </c>
      <c r="D9" t="s">
        <v>356</v>
      </c>
      <c r="E9" t="s">
        <v>356</v>
      </c>
      <c r="F9" t="s">
        <v>356</v>
      </c>
      <c r="G9" t="s">
        <v>356</v>
      </c>
      <c r="H9" t="s">
        <v>356</v>
      </c>
      <c r="I9" t="s">
        <v>356</v>
      </c>
      <c r="J9" t="s">
        <v>356</v>
      </c>
      <c r="K9" t="s">
        <v>356</v>
      </c>
      <c r="L9" t="s">
        <v>356</v>
      </c>
      <c r="M9" t="s">
        <v>356</v>
      </c>
      <c r="N9" t="s">
        <v>356</v>
      </c>
      <c r="O9" t="s">
        <v>356</v>
      </c>
      <c r="P9" t="s">
        <v>356</v>
      </c>
      <c r="Q9" t="s">
        <v>356</v>
      </c>
      <c r="R9" t="s">
        <v>356</v>
      </c>
      <c r="S9" t="s">
        <v>356</v>
      </c>
      <c r="T9" t="s">
        <v>356</v>
      </c>
      <c r="U9" t="s">
        <v>356</v>
      </c>
      <c r="V9" t="s">
        <v>356</v>
      </c>
      <c r="W9" t="s">
        <v>356</v>
      </c>
      <c r="X9" t="s">
        <v>356</v>
      </c>
      <c r="Y9" t="s">
        <v>356</v>
      </c>
      <c r="Z9" t="s">
        <v>356</v>
      </c>
      <c r="AA9" t="s">
        <v>356</v>
      </c>
      <c r="AB9" t="s">
        <v>356</v>
      </c>
      <c r="AC9" t="s">
        <v>356</v>
      </c>
      <c r="AD9" t="s">
        <v>356</v>
      </c>
      <c r="AE9" t="s">
        <v>356</v>
      </c>
      <c r="AF9" t="s">
        <v>356</v>
      </c>
      <c r="AG9" t="s">
        <v>356</v>
      </c>
      <c r="AH9" t="s">
        <v>356</v>
      </c>
      <c r="AI9" t="s">
        <v>356</v>
      </c>
      <c r="AJ9" t="s">
        <v>356</v>
      </c>
      <c r="AK9" t="s">
        <v>356</v>
      </c>
      <c r="AL9" t="s">
        <v>356</v>
      </c>
      <c r="AM9" t="s">
        <v>356</v>
      </c>
      <c r="AN9" t="s">
        <v>356</v>
      </c>
      <c r="AO9" t="s">
        <v>356</v>
      </c>
      <c r="AP9" t="s">
        <v>356</v>
      </c>
      <c r="AQ9" t="s">
        <v>769</v>
      </c>
      <c r="AR9" t="s">
        <v>769</v>
      </c>
      <c r="AS9" t="s">
        <v>769</v>
      </c>
      <c r="AT9" t="s">
        <v>769</v>
      </c>
      <c r="AU9" t="s">
        <v>769</v>
      </c>
      <c r="AV9" t="s">
        <v>769</v>
      </c>
      <c r="AW9" t="s">
        <v>769</v>
      </c>
      <c r="AX9" t="s">
        <v>769</v>
      </c>
      <c r="AY9" t="s">
        <v>769</v>
      </c>
      <c r="AZ9" t="s">
        <v>769</v>
      </c>
      <c r="BA9" t="s">
        <v>769</v>
      </c>
      <c r="BB9" t="s">
        <v>769</v>
      </c>
      <c r="BC9" t="s">
        <v>769</v>
      </c>
      <c r="BD9" t="s">
        <v>769</v>
      </c>
      <c r="BE9" t="s">
        <v>769</v>
      </c>
      <c r="BF9" t="s">
        <v>769</v>
      </c>
      <c r="BG9" t="s">
        <v>769</v>
      </c>
      <c r="BH9" t="s">
        <v>769</v>
      </c>
      <c r="BI9" t="s">
        <v>769</v>
      </c>
      <c r="BJ9" t="s">
        <v>769</v>
      </c>
      <c r="BK9" t="s">
        <v>769</v>
      </c>
      <c r="BL9" t="s">
        <v>769</v>
      </c>
      <c r="BM9" t="s">
        <v>769</v>
      </c>
      <c r="BN9" t="s">
        <v>769</v>
      </c>
      <c r="BO9" t="s">
        <v>769</v>
      </c>
      <c r="BP9" t="s">
        <v>769</v>
      </c>
      <c r="BQ9" t="s">
        <v>769</v>
      </c>
      <c r="BR9" t="s">
        <v>769</v>
      </c>
      <c r="BS9" t="s">
        <v>769</v>
      </c>
      <c r="BT9" t="s">
        <v>769</v>
      </c>
      <c r="BU9" t="s">
        <v>769</v>
      </c>
      <c r="BV9" t="s">
        <v>769</v>
      </c>
      <c r="BW9" t="s">
        <v>769</v>
      </c>
      <c r="BX9" t="s">
        <v>769</v>
      </c>
      <c r="BY9" t="s">
        <v>769</v>
      </c>
      <c r="BZ9" t="s">
        <v>769</v>
      </c>
      <c r="CA9" t="s">
        <v>769</v>
      </c>
      <c r="CB9" t="s">
        <v>769</v>
      </c>
      <c r="CC9" t="s">
        <v>769</v>
      </c>
      <c r="CD9" t="s">
        <v>769</v>
      </c>
      <c r="CE9" t="s">
        <v>769</v>
      </c>
      <c r="CF9" t="s">
        <v>769</v>
      </c>
      <c r="CG9" t="s">
        <v>769</v>
      </c>
      <c r="CH9" t="s">
        <v>769</v>
      </c>
      <c r="CI9" t="s">
        <v>769</v>
      </c>
      <c r="CJ9" t="s">
        <v>769</v>
      </c>
      <c r="CK9" t="s">
        <v>769</v>
      </c>
      <c r="CL9" t="s">
        <v>769</v>
      </c>
      <c r="CM9" t="s">
        <v>769</v>
      </c>
      <c r="CN9" t="s">
        <v>769</v>
      </c>
      <c r="CO9" t="s">
        <v>769</v>
      </c>
      <c r="CP9" t="s">
        <v>769</v>
      </c>
      <c r="CQ9" t="s">
        <v>769</v>
      </c>
      <c r="CR9" t="s">
        <v>769</v>
      </c>
      <c r="CS9" t="s">
        <v>769</v>
      </c>
      <c r="CT9" t="s">
        <v>769</v>
      </c>
      <c r="CU9" t="s">
        <v>769</v>
      </c>
      <c r="CV9" t="s">
        <v>769</v>
      </c>
      <c r="CW9" t="s">
        <v>769</v>
      </c>
    </row>
    <row r="10" spans="1:101">
      <c r="A10" t="s">
        <v>340</v>
      </c>
      <c r="B10" t="s">
        <v>357</v>
      </c>
      <c r="C10" t="s">
        <v>357</v>
      </c>
      <c r="D10" t="s">
        <v>357</v>
      </c>
      <c r="E10" t="s">
        <v>357</v>
      </c>
      <c r="F10" t="s">
        <v>357</v>
      </c>
      <c r="G10" t="s">
        <v>633</v>
      </c>
      <c r="H10" t="s">
        <v>357</v>
      </c>
      <c r="I10" t="s">
        <v>633</v>
      </c>
      <c r="J10" t="s">
        <v>357</v>
      </c>
      <c r="K10" t="s">
        <v>633</v>
      </c>
      <c r="L10" t="s">
        <v>357</v>
      </c>
      <c r="M10" t="s">
        <v>357</v>
      </c>
      <c r="N10" t="s">
        <v>357</v>
      </c>
      <c r="O10" t="s">
        <v>357</v>
      </c>
      <c r="P10" t="s">
        <v>357</v>
      </c>
      <c r="Q10" t="s">
        <v>357</v>
      </c>
      <c r="R10" t="s">
        <v>357</v>
      </c>
      <c r="S10" t="s">
        <v>357</v>
      </c>
      <c r="T10" t="s">
        <v>357</v>
      </c>
      <c r="U10" t="s">
        <v>357</v>
      </c>
      <c r="V10" t="s">
        <v>357</v>
      </c>
      <c r="W10" t="s">
        <v>357</v>
      </c>
      <c r="X10" t="s">
        <v>357</v>
      </c>
      <c r="Y10" t="s">
        <v>357</v>
      </c>
      <c r="Z10" t="s">
        <v>357</v>
      </c>
      <c r="AA10" t="s">
        <v>357</v>
      </c>
      <c r="AB10" t="s">
        <v>357</v>
      </c>
      <c r="AC10" t="s">
        <v>357</v>
      </c>
      <c r="AD10" t="s">
        <v>357</v>
      </c>
      <c r="AE10" t="s">
        <v>357</v>
      </c>
      <c r="AF10" t="s">
        <v>357</v>
      </c>
      <c r="AG10" t="s">
        <v>357</v>
      </c>
      <c r="AH10" t="s">
        <v>357</v>
      </c>
      <c r="AI10" t="s">
        <v>357</v>
      </c>
      <c r="AJ10" t="s">
        <v>357</v>
      </c>
      <c r="AK10" t="s">
        <v>357</v>
      </c>
      <c r="AL10" t="s">
        <v>357</v>
      </c>
      <c r="AM10" t="s">
        <v>357</v>
      </c>
      <c r="AN10" t="s">
        <v>357</v>
      </c>
      <c r="AO10" t="s">
        <v>357</v>
      </c>
      <c r="AP10" t="s">
        <v>357</v>
      </c>
      <c r="AQ10" t="s">
        <v>633</v>
      </c>
      <c r="AR10" t="s">
        <v>357</v>
      </c>
      <c r="AS10" t="s">
        <v>357</v>
      </c>
      <c r="AT10" t="s">
        <v>633</v>
      </c>
      <c r="AU10" t="s">
        <v>633</v>
      </c>
      <c r="AV10" t="s">
        <v>357</v>
      </c>
      <c r="AW10" t="s">
        <v>633</v>
      </c>
      <c r="AX10" t="s">
        <v>357</v>
      </c>
      <c r="AY10" t="s">
        <v>357</v>
      </c>
      <c r="AZ10" t="s">
        <v>357</v>
      </c>
      <c r="BA10" t="s">
        <v>633</v>
      </c>
      <c r="BB10" t="s">
        <v>357</v>
      </c>
      <c r="BC10" t="s">
        <v>633</v>
      </c>
      <c r="BD10" t="s">
        <v>357</v>
      </c>
      <c r="BE10" t="s">
        <v>357</v>
      </c>
      <c r="BF10" t="s">
        <v>357</v>
      </c>
      <c r="BG10" t="s">
        <v>357</v>
      </c>
      <c r="BH10" t="s">
        <v>357</v>
      </c>
      <c r="BI10" t="s">
        <v>357</v>
      </c>
      <c r="BJ10" t="s">
        <v>357</v>
      </c>
      <c r="BK10" t="s">
        <v>357</v>
      </c>
      <c r="BL10" t="s">
        <v>357</v>
      </c>
      <c r="BM10" t="s">
        <v>357</v>
      </c>
      <c r="BN10" t="s">
        <v>357</v>
      </c>
      <c r="BO10" t="s">
        <v>633</v>
      </c>
      <c r="BP10" t="s">
        <v>357</v>
      </c>
      <c r="BQ10" t="s">
        <v>357</v>
      </c>
      <c r="BR10" t="s">
        <v>357</v>
      </c>
      <c r="BS10" t="s">
        <v>357</v>
      </c>
      <c r="BT10" t="s">
        <v>357</v>
      </c>
      <c r="BU10" t="s">
        <v>357</v>
      </c>
      <c r="BV10" t="s">
        <v>357</v>
      </c>
      <c r="BW10" t="s">
        <v>357</v>
      </c>
      <c r="BX10" t="s">
        <v>633</v>
      </c>
      <c r="BY10" t="s">
        <v>357</v>
      </c>
      <c r="BZ10" t="s">
        <v>357</v>
      </c>
      <c r="CA10" t="s">
        <v>633</v>
      </c>
      <c r="CB10" t="s">
        <v>633</v>
      </c>
      <c r="CC10" t="s">
        <v>357</v>
      </c>
      <c r="CD10" t="s">
        <v>633</v>
      </c>
      <c r="CE10" t="s">
        <v>357</v>
      </c>
      <c r="CF10" t="s">
        <v>357</v>
      </c>
      <c r="CG10" t="s">
        <v>357</v>
      </c>
      <c r="CH10" t="s">
        <v>633</v>
      </c>
      <c r="CI10" t="s">
        <v>357</v>
      </c>
      <c r="CJ10" t="s">
        <v>357</v>
      </c>
      <c r="CK10" t="s">
        <v>633</v>
      </c>
      <c r="CL10" t="s">
        <v>357</v>
      </c>
      <c r="CM10" t="s">
        <v>357</v>
      </c>
      <c r="CN10" t="s">
        <v>357</v>
      </c>
      <c r="CO10" t="s">
        <v>357</v>
      </c>
      <c r="CP10" t="s">
        <v>357</v>
      </c>
      <c r="CQ10" t="s">
        <v>357</v>
      </c>
      <c r="CR10" t="s">
        <v>357</v>
      </c>
      <c r="CS10" t="s">
        <v>357</v>
      </c>
      <c r="CT10" t="s">
        <v>357</v>
      </c>
      <c r="CU10" t="s">
        <v>633</v>
      </c>
      <c r="CV10" t="s">
        <v>357</v>
      </c>
      <c r="CW10" t="s">
        <v>357</v>
      </c>
    </row>
    <row r="11" spans="1:101">
      <c r="A11" t="s">
        <v>341</v>
      </c>
    </row>
    <row r="12" spans="1:101">
      <c r="A12" t="s">
        <v>342</v>
      </c>
    </row>
    <row r="13" spans="1:101">
      <c r="A13" t="s">
        <v>343</v>
      </c>
      <c r="AQ13" t="s">
        <v>353</v>
      </c>
      <c r="AR13" t="s">
        <v>353</v>
      </c>
      <c r="AS13" t="s">
        <v>353</v>
      </c>
      <c r="AT13" t="s">
        <v>353</v>
      </c>
      <c r="AU13" t="s">
        <v>353</v>
      </c>
      <c r="AV13" t="s">
        <v>353</v>
      </c>
      <c r="AW13" t="s">
        <v>353</v>
      </c>
      <c r="AX13" t="s">
        <v>353</v>
      </c>
      <c r="AY13" t="s">
        <v>353</v>
      </c>
      <c r="AZ13" t="s">
        <v>353</v>
      </c>
      <c r="BA13" t="s">
        <v>353</v>
      </c>
      <c r="BB13" t="s">
        <v>353</v>
      </c>
      <c r="BC13" t="s">
        <v>353</v>
      </c>
      <c r="BD13" t="s">
        <v>353</v>
      </c>
      <c r="BE13" t="s">
        <v>353</v>
      </c>
      <c r="BF13" t="s">
        <v>353</v>
      </c>
      <c r="BG13" t="s">
        <v>353</v>
      </c>
      <c r="BH13" t="s">
        <v>353</v>
      </c>
      <c r="BI13" t="s">
        <v>353</v>
      </c>
      <c r="BJ13" t="s">
        <v>353</v>
      </c>
      <c r="BK13" t="s">
        <v>353</v>
      </c>
      <c r="BL13" t="s">
        <v>353</v>
      </c>
      <c r="BM13" t="s">
        <v>353</v>
      </c>
      <c r="BN13" t="s">
        <v>353</v>
      </c>
      <c r="BO13" t="s">
        <v>353</v>
      </c>
      <c r="BP13" t="s">
        <v>353</v>
      </c>
      <c r="BQ13" t="s">
        <v>353</v>
      </c>
      <c r="BR13" t="s">
        <v>353</v>
      </c>
      <c r="BS13" t="s">
        <v>353</v>
      </c>
      <c r="BT13" t="s">
        <v>353</v>
      </c>
      <c r="BU13" t="s">
        <v>353</v>
      </c>
      <c r="BV13" t="s">
        <v>353</v>
      </c>
      <c r="BW13" t="s">
        <v>353</v>
      </c>
      <c r="BX13" t="s">
        <v>353</v>
      </c>
      <c r="BY13" t="s">
        <v>353</v>
      </c>
      <c r="BZ13" t="s">
        <v>353</v>
      </c>
      <c r="CA13" t="s">
        <v>353</v>
      </c>
      <c r="CB13" t="s">
        <v>353</v>
      </c>
      <c r="CC13" t="s">
        <v>353</v>
      </c>
      <c r="CD13" t="s">
        <v>353</v>
      </c>
      <c r="CE13" t="s">
        <v>353</v>
      </c>
      <c r="CF13" t="s">
        <v>353</v>
      </c>
      <c r="CG13" t="s">
        <v>353</v>
      </c>
      <c r="CH13" t="s">
        <v>353</v>
      </c>
      <c r="CI13" t="s">
        <v>353</v>
      </c>
      <c r="CJ13" t="s">
        <v>353</v>
      </c>
      <c r="CK13" t="s">
        <v>353</v>
      </c>
      <c r="CL13" t="s">
        <v>353</v>
      </c>
      <c r="CM13" t="s">
        <v>353</v>
      </c>
      <c r="CN13" t="s">
        <v>353</v>
      </c>
      <c r="CO13" t="s">
        <v>353</v>
      </c>
      <c r="CP13" t="s">
        <v>353</v>
      </c>
      <c r="CQ13" t="s">
        <v>353</v>
      </c>
      <c r="CR13" t="s">
        <v>353</v>
      </c>
      <c r="CS13" t="s">
        <v>353</v>
      </c>
      <c r="CT13" t="s">
        <v>353</v>
      </c>
      <c r="CU13" t="s">
        <v>353</v>
      </c>
      <c r="CV13" t="s">
        <v>353</v>
      </c>
      <c r="CW13" t="s">
        <v>353</v>
      </c>
    </row>
    <row r="14" spans="1:101">
      <c r="A14" t="s">
        <v>344</v>
      </c>
    </row>
    <row r="15" spans="1:101">
      <c r="A15" t="s">
        <v>345</v>
      </c>
      <c r="B15" t="s">
        <v>184</v>
      </c>
      <c r="C15" t="s">
        <v>83</v>
      </c>
      <c r="D15" t="s">
        <v>92</v>
      </c>
      <c r="E15" t="s">
        <v>625</v>
      </c>
      <c r="F15" t="s">
        <v>90</v>
      </c>
      <c r="G15" t="s">
        <v>631</v>
      </c>
      <c r="H15" t="s">
        <v>87</v>
      </c>
      <c r="I15" t="s">
        <v>7</v>
      </c>
      <c r="J15" t="s">
        <v>86</v>
      </c>
      <c r="K15" t="s">
        <v>640</v>
      </c>
      <c r="L15" t="s">
        <v>94</v>
      </c>
      <c r="M15" t="s">
        <v>644</v>
      </c>
      <c r="N15" t="s">
        <v>32</v>
      </c>
      <c r="O15" t="s">
        <v>33</v>
      </c>
      <c r="P15" t="s">
        <v>653</v>
      </c>
      <c r="Q15" t="s">
        <v>81</v>
      </c>
      <c r="R15" t="s">
        <v>85</v>
      </c>
      <c r="S15" t="s">
        <v>36</v>
      </c>
      <c r="T15" t="s">
        <v>80</v>
      </c>
      <c r="U15" t="s">
        <v>95</v>
      </c>
      <c r="V15" t="s">
        <v>663</v>
      </c>
      <c r="W15" t="s">
        <v>82</v>
      </c>
      <c r="X15" t="s">
        <v>666</v>
      </c>
      <c r="Y15" t="s">
        <v>79</v>
      </c>
      <c r="Z15" t="s">
        <v>20</v>
      </c>
      <c r="AA15" t="s">
        <v>78</v>
      </c>
      <c r="AB15" t="s">
        <v>39</v>
      </c>
      <c r="AC15" t="s">
        <v>84</v>
      </c>
      <c r="AD15" t="s">
        <v>88</v>
      </c>
      <c r="AE15" t="s">
        <v>40</v>
      </c>
      <c r="AF15" t="s">
        <v>21</v>
      </c>
      <c r="AG15" t="s">
        <v>91</v>
      </c>
      <c r="AH15" t="s">
        <v>93</v>
      </c>
      <c r="AI15" t="s">
        <v>38</v>
      </c>
      <c r="AJ15" t="s">
        <v>751</v>
      </c>
      <c r="AK15" t="s">
        <v>226</v>
      </c>
      <c r="AL15" t="s">
        <v>756</v>
      </c>
      <c r="AM15" t="s">
        <v>37</v>
      </c>
      <c r="AN15" t="s">
        <v>89</v>
      </c>
      <c r="AO15" t="s">
        <v>225</v>
      </c>
      <c r="AP15" t="s">
        <v>227</v>
      </c>
      <c r="AQ15" t="s">
        <v>766</v>
      </c>
      <c r="AR15" t="s">
        <v>50</v>
      </c>
      <c r="AS15" t="s">
        <v>34</v>
      </c>
      <c r="AT15" t="s">
        <v>778</v>
      </c>
      <c r="AU15" t="s">
        <v>781</v>
      </c>
      <c r="AV15" t="s">
        <v>64</v>
      </c>
      <c r="AW15" t="s">
        <v>787</v>
      </c>
      <c r="AX15" t="s">
        <v>62</v>
      </c>
      <c r="AY15" t="s">
        <v>46</v>
      </c>
      <c r="AZ15" t="s">
        <v>51</v>
      </c>
      <c r="BA15" t="s">
        <v>798</v>
      </c>
      <c r="BB15" t="s">
        <v>809</v>
      </c>
      <c r="BC15" t="s">
        <v>811</v>
      </c>
      <c r="BD15" t="s">
        <v>51</v>
      </c>
      <c r="BE15" t="s">
        <v>35</v>
      </c>
      <c r="BF15" t="s">
        <v>45</v>
      </c>
      <c r="BG15" t="s">
        <v>50</v>
      </c>
      <c r="BH15" t="s">
        <v>199</v>
      </c>
      <c r="BI15" t="s">
        <v>71</v>
      </c>
      <c r="BJ15" t="s">
        <v>830</v>
      </c>
      <c r="BK15" t="s">
        <v>832</v>
      </c>
      <c r="BL15" t="s">
        <v>834</v>
      </c>
      <c r="BM15" t="s">
        <v>70</v>
      </c>
      <c r="BN15" t="s">
        <v>41</v>
      </c>
      <c r="BO15" t="s">
        <v>840</v>
      </c>
      <c r="BP15" t="s">
        <v>60</v>
      </c>
      <c r="BQ15" t="s">
        <v>47</v>
      </c>
      <c r="BR15" t="s">
        <v>1456</v>
      </c>
      <c r="BS15" t="s">
        <v>1459</v>
      </c>
      <c r="BT15" t="s">
        <v>75</v>
      </c>
      <c r="BU15" t="s">
        <v>63</v>
      </c>
      <c r="BV15" t="s">
        <v>72</v>
      </c>
      <c r="BW15" t="s">
        <v>55</v>
      </c>
      <c r="BX15" t="s">
        <v>1469</v>
      </c>
      <c r="BY15" t="s">
        <v>56</v>
      </c>
      <c r="BZ15" t="s">
        <v>77</v>
      </c>
      <c r="CA15" t="s">
        <v>1475</v>
      </c>
      <c r="CB15" t="s">
        <v>1477</v>
      </c>
      <c r="CC15" t="s">
        <v>51</v>
      </c>
      <c r="CD15" t="s">
        <v>1481</v>
      </c>
      <c r="CE15" t="s">
        <v>59</v>
      </c>
      <c r="CF15" t="s">
        <v>58</v>
      </c>
      <c r="CG15" t="s">
        <v>224</v>
      </c>
      <c r="CH15" t="s">
        <v>1488</v>
      </c>
      <c r="CI15" t="s">
        <v>51</v>
      </c>
      <c r="CJ15" t="s">
        <v>76</v>
      </c>
      <c r="CK15" t="s">
        <v>1508</v>
      </c>
      <c r="CL15" t="s">
        <v>49</v>
      </c>
      <c r="CM15" t="s">
        <v>50</v>
      </c>
      <c r="CN15" t="s">
        <v>1539</v>
      </c>
      <c r="CO15" t="s">
        <v>1546</v>
      </c>
      <c r="CP15" t="s">
        <v>1548</v>
      </c>
      <c r="CQ15" t="s">
        <v>50</v>
      </c>
      <c r="CR15" t="s">
        <v>73</v>
      </c>
      <c r="CS15" t="s">
        <v>200</v>
      </c>
      <c r="CT15" t="s">
        <v>51</v>
      </c>
      <c r="CU15" t="s">
        <v>1556</v>
      </c>
      <c r="CV15" t="s">
        <v>61</v>
      </c>
      <c r="CW15" t="s">
        <v>50</v>
      </c>
    </row>
    <row r="16" spans="1:101">
      <c r="A16" t="s">
        <v>346</v>
      </c>
    </row>
    <row r="17" spans="1:104">
      <c r="A17" t="s">
        <v>347</v>
      </c>
    </row>
    <row r="18" spans="1:104">
      <c r="A18" t="s">
        <v>348</v>
      </c>
    </row>
    <row r="20" spans="1:104">
      <c r="A20" t="s">
        <v>349</v>
      </c>
    </row>
    <row r="21" spans="1:104">
      <c r="A21" t="s">
        <v>352</v>
      </c>
    </row>
    <row r="22" spans="1:104">
      <c r="A22" t="s">
        <v>350</v>
      </c>
      <c r="B22" t="s">
        <v>354</v>
      </c>
      <c r="C22" t="s">
        <v>607</v>
      </c>
      <c r="G22" t="s">
        <v>623</v>
      </c>
      <c r="H22" t="s">
        <v>635</v>
      </c>
      <c r="J22" t="s">
        <v>638</v>
      </c>
      <c r="L22" t="s">
        <v>642</v>
      </c>
      <c r="N22" t="s">
        <v>645</v>
      </c>
      <c r="Q22" t="s">
        <v>654</v>
      </c>
      <c r="R22" t="s">
        <v>655</v>
      </c>
      <c r="T22" t="s">
        <v>657</v>
      </c>
      <c r="W22" t="s">
        <v>664</v>
      </c>
      <c r="Y22" t="s">
        <v>668</v>
      </c>
      <c r="AG22" t="s">
        <v>743</v>
      </c>
      <c r="AH22" t="s">
        <v>746</v>
      </c>
      <c r="AI22" t="s">
        <v>747</v>
      </c>
      <c r="AR22" t="s">
        <v>770</v>
      </c>
      <c r="AU22" t="s">
        <v>780</v>
      </c>
      <c r="AY22" t="s">
        <v>792</v>
      </c>
      <c r="BA22" t="s">
        <v>797</v>
      </c>
      <c r="BG22" t="s">
        <v>820</v>
      </c>
      <c r="BO22" t="s">
        <v>839</v>
      </c>
      <c r="BQ22" t="s">
        <v>1449</v>
      </c>
      <c r="BT22" t="s">
        <v>1460</v>
      </c>
      <c r="CH22" t="s">
        <v>1487</v>
      </c>
      <c r="CJ22" t="s">
        <v>1505</v>
      </c>
      <c r="CL22" t="s">
        <v>1510</v>
      </c>
      <c r="CM22" t="s">
        <v>1514</v>
      </c>
      <c r="CN22" t="s">
        <v>1538</v>
      </c>
      <c r="CQ22" t="s">
        <v>1549</v>
      </c>
      <c r="CW22" t="s">
        <v>1560</v>
      </c>
      <c r="CY22" t="s">
        <v>343</v>
      </c>
      <c r="CZ22" t="s">
        <v>1561</v>
      </c>
    </row>
    <row r="23" spans="1:104">
      <c r="A23" t="s">
        <v>351</v>
      </c>
      <c r="B23" t="s">
        <v>358</v>
      </c>
      <c r="C23" t="s">
        <v>609</v>
      </c>
      <c r="G23" t="s">
        <v>634</v>
      </c>
      <c r="H23" t="s">
        <v>161</v>
      </c>
      <c r="J23" t="s">
        <v>161</v>
      </c>
      <c r="L23" t="s">
        <v>161</v>
      </c>
      <c r="N23" t="s">
        <v>648</v>
      </c>
      <c r="Q23" t="s">
        <v>161</v>
      </c>
      <c r="R23" t="s">
        <v>161</v>
      </c>
      <c r="T23" t="s">
        <v>659</v>
      </c>
      <c r="W23" t="s">
        <v>161</v>
      </c>
      <c r="Y23" t="s">
        <v>670</v>
      </c>
      <c r="AG23" t="s">
        <v>634</v>
      </c>
      <c r="AH23" t="s">
        <v>161</v>
      </c>
      <c r="AI23" t="s">
        <v>749</v>
      </c>
      <c r="AR23" t="s">
        <v>773</v>
      </c>
      <c r="AU23" t="s">
        <v>783</v>
      </c>
      <c r="AY23" t="s">
        <v>161</v>
      </c>
      <c r="BA23" t="s">
        <v>800</v>
      </c>
      <c r="BG23" t="s">
        <v>822</v>
      </c>
      <c r="BO23" t="s">
        <v>842</v>
      </c>
      <c r="BQ23" t="s">
        <v>163</v>
      </c>
      <c r="BT23" t="s">
        <v>161</v>
      </c>
      <c r="CH23" t="s">
        <v>1490</v>
      </c>
      <c r="CJ23" t="s">
        <v>1457</v>
      </c>
      <c r="CL23" t="s">
        <v>161</v>
      </c>
      <c r="CM23" t="s">
        <v>1516</v>
      </c>
      <c r="CN23" t="s">
        <v>1541</v>
      </c>
      <c r="CQ23" t="s">
        <v>822</v>
      </c>
      <c r="CW23" t="s">
        <v>822</v>
      </c>
      <c r="CY23" t="s">
        <v>1562</v>
      </c>
      <c r="CZ23" t="s">
        <v>1563</v>
      </c>
    </row>
    <row r="24" spans="1:104">
      <c r="B24" t="s">
        <v>359</v>
      </c>
      <c r="C24" t="s">
        <v>610</v>
      </c>
      <c r="H24" t="s">
        <v>329</v>
      </c>
      <c r="J24" t="s">
        <v>329</v>
      </c>
      <c r="L24" t="s">
        <v>329</v>
      </c>
      <c r="N24" t="s">
        <v>159</v>
      </c>
      <c r="Q24" t="s">
        <v>329</v>
      </c>
      <c r="R24" t="s">
        <v>329</v>
      </c>
      <c r="T24" t="s">
        <v>660</v>
      </c>
      <c r="W24" t="s">
        <v>329</v>
      </c>
      <c r="Y24" t="s">
        <v>671</v>
      </c>
      <c r="AG24" t="s">
        <v>745</v>
      </c>
      <c r="AH24" t="s">
        <v>329</v>
      </c>
      <c r="AR24" t="s">
        <v>774</v>
      </c>
      <c r="AY24" t="s">
        <v>329</v>
      </c>
      <c r="BA24" t="s">
        <v>788</v>
      </c>
      <c r="BG24" t="s">
        <v>823</v>
      </c>
      <c r="BO24" t="s">
        <v>843</v>
      </c>
      <c r="BQ24" t="s">
        <v>1451</v>
      </c>
      <c r="BT24" t="s">
        <v>329</v>
      </c>
      <c r="CH24" t="s">
        <v>301</v>
      </c>
      <c r="CJ24" t="s">
        <v>800</v>
      </c>
      <c r="CL24" t="s">
        <v>1512</v>
      </c>
      <c r="CM24" t="s">
        <v>1517</v>
      </c>
      <c r="CN24" t="s">
        <v>1542</v>
      </c>
      <c r="CQ24" t="s">
        <v>823</v>
      </c>
      <c r="CW24" t="s">
        <v>823</v>
      </c>
      <c r="CY24" t="s">
        <v>353</v>
      </c>
      <c r="CZ24" t="s">
        <v>1564</v>
      </c>
    </row>
    <row r="25" spans="1:104">
      <c r="B25" t="s">
        <v>360</v>
      </c>
      <c r="C25" t="s">
        <v>611</v>
      </c>
      <c r="N25" t="s">
        <v>649</v>
      </c>
      <c r="T25" t="s">
        <v>661</v>
      </c>
      <c r="Y25" t="s">
        <v>672</v>
      </c>
      <c r="BA25" t="s">
        <v>801</v>
      </c>
      <c r="BO25" t="s">
        <v>844</v>
      </c>
      <c r="BQ25" t="s">
        <v>1452</v>
      </c>
      <c r="CH25" t="s">
        <v>300</v>
      </c>
      <c r="CJ25" t="s">
        <v>788</v>
      </c>
      <c r="CL25" t="s">
        <v>1513</v>
      </c>
      <c r="CM25" t="s">
        <v>1518</v>
      </c>
      <c r="CN25" t="s">
        <v>1543</v>
      </c>
    </row>
    <row r="26" spans="1:104">
      <c r="B26" t="s">
        <v>361</v>
      </c>
      <c r="C26" t="s">
        <v>612</v>
      </c>
      <c r="N26" t="s">
        <v>650</v>
      </c>
      <c r="Y26" t="s">
        <v>673</v>
      </c>
      <c r="BA26" t="s">
        <v>802</v>
      </c>
      <c r="BO26" t="s">
        <v>845</v>
      </c>
      <c r="BQ26" t="s">
        <v>1453</v>
      </c>
      <c r="CH26" t="s">
        <v>1491</v>
      </c>
      <c r="CJ26" t="s">
        <v>801</v>
      </c>
      <c r="CM26" t="s">
        <v>1519</v>
      </c>
      <c r="CN26" t="s">
        <v>1544</v>
      </c>
    </row>
    <row r="27" spans="1:104">
      <c r="B27" t="s">
        <v>362</v>
      </c>
      <c r="C27" t="s">
        <v>613</v>
      </c>
      <c r="Y27" t="s">
        <v>674</v>
      </c>
      <c r="BA27" t="s">
        <v>803</v>
      </c>
      <c r="BO27" t="s">
        <v>846</v>
      </c>
      <c r="BQ27" t="s">
        <v>1454</v>
      </c>
      <c r="CH27" t="s">
        <v>1492</v>
      </c>
      <c r="CJ27" t="s">
        <v>802</v>
      </c>
      <c r="CM27" t="s">
        <v>1520</v>
      </c>
    </row>
    <row r="28" spans="1:104">
      <c r="B28" t="s">
        <v>363</v>
      </c>
      <c r="C28" t="s">
        <v>614</v>
      </c>
      <c r="Y28" t="s">
        <v>675</v>
      </c>
      <c r="BA28" t="s">
        <v>791</v>
      </c>
      <c r="BO28" t="s">
        <v>847</v>
      </c>
      <c r="CH28" t="s">
        <v>1493</v>
      </c>
      <c r="CJ28" t="s">
        <v>803</v>
      </c>
      <c r="CM28" t="s">
        <v>1521</v>
      </c>
    </row>
    <row r="29" spans="1:104">
      <c r="B29" t="s">
        <v>364</v>
      </c>
      <c r="C29" t="s">
        <v>615</v>
      </c>
      <c r="Y29" t="s">
        <v>676</v>
      </c>
      <c r="BA29" t="s">
        <v>804</v>
      </c>
      <c r="BO29" t="s">
        <v>848</v>
      </c>
      <c r="CH29" t="s">
        <v>1494</v>
      </c>
      <c r="CJ29" t="s">
        <v>791</v>
      </c>
      <c r="CM29" t="s">
        <v>1522</v>
      </c>
    </row>
    <row r="30" spans="1:104">
      <c r="B30" t="s">
        <v>365</v>
      </c>
      <c r="C30" t="s">
        <v>616</v>
      </c>
      <c r="Y30" t="s">
        <v>677</v>
      </c>
      <c r="BA30" t="s">
        <v>805</v>
      </c>
      <c r="BO30" t="s">
        <v>849</v>
      </c>
      <c r="CH30" t="s">
        <v>1495</v>
      </c>
      <c r="CJ30" t="s">
        <v>804</v>
      </c>
      <c r="CM30" t="s">
        <v>1523</v>
      </c>
    </row>
    <row r="31" spans="1:104">
      <c r="B31" t="s">
        <v>366</v>
      </c>
      <c r="C31" t="s">
        <v>617</v>
      </c>
      <c r="Y31" t="s">
        <v>678</v>
      </c>
      <c r="BA31" t="s">
        <v>806</v>
      </c>
      <c r="BO31" t="s">
        <v>850</v>
      </c>
      <c r="CH31" t="s">
        <v>1496</v>
      </c>
      <c r="CJ31" t="s">
        <v>805</v>
      </c>
      <c r="CM31" t="s">
        <v>1524</v>
      </c>
    </row>
    <row r="32" spans="1:104">
      <c r="B32" t="s">
        <v>367</v>
      </c>
      <c r="C32" t="s">
        <v>618</v>
      </c>
      <c r="Y32" t="s">
        <v>679</v>
      </c>
      <c r="BA32" t="s">
        <v>807</v>
      </c>
      <c r="BO32" t="s">
        <v>851</v>
      </c>
      <c r="CH32" t="s">
        <v>1497</v>
      </c>
      <c r="CJ32" t="s">
        <v>806</v>
      </c>
      <c r="CM32" t="s">
        <v>1525</v>
      </c>
    </row>
    <row r="33" spans="2:91">
      <c r="B33" t="s">
        <v>368</v>
      </c>
      <c r="C33" t="s">
        <v>619</v>
      </c>
      <c r="Y33" t="s">
        <v>680</v>
      </c>
      <c r="BO33" t="s">
        <v>852</v>
      </c>
      <c r="CH33" t="s">
        <v>1498</v>
      </c>
      <c r="CJ33" t="s">
        <v>807</v>
      </c>
      <c r="CM33" t="s">
        <v>304</v>
      </c>
    </row>
    <row r="34" spans="2:91">
      <c r="B34" t="s">
        <v>369</v>
      </c>
      <c r="C34" t="s">
        <v>620</v>
      </c>
      <c r="Y34" t="s">
        <v>681</v>
      </c>
      <c r="BO34" t="s">
        <v>853</v>
      </c>
      <c r="CH34" t="s">
        <v>1499</v>
      </c>
      <c r="CM34" t="s">
        <v>1526</v>
      </c>
    </row>
    <row r="35" spans="2:91">
      <c r="B35" t="s">
        <v>370</v>
      </c>
      <c r="Y35" t="s">
        <v>682</v>
      </c>
      <c r="BO35" t="s">
        <v>854</v>
      </c>
      <c r="CH35" t="s">
        <v>1500</v>
      </c>
      <c r="CM35" t="s">
        <v>1527</v>
      </c>
    </row>
    <row r="36" spans="2:91">
      <c r="B36" t="s">
        <v>371</v>
      </c>
      <c r="Y36" t="s">
        <v>683</v>
      </c>
      <c r="BO36" t="s">
        <v>855</v>
      </c>
      <c r="CH36" t="s">
        <v>1501</v>
      </c>
      <c r="CM36" t="s">
        <v>1528</v>
      </c>
    </row>
    <row r="37" spans="2:91">
      <c r="B37" t="s">
        <v>372</v>
      </c>
      <c r="Y37" t="s">
        <v>684</v>
      </c>
      <c r="BO37" t="s">
        <v>856</v>
      </c>
      <c r="CH37" t="s">
        <v>162</v>
      </c>
      <c r="CM37" t="s">
        <v>1529</v>
      </c>
    </row>
    <row r="38" spans="2:91">
      <c r="B38" t="s">
        <v>373</v>
      </c>
      <c r="Y38" t="s">
        <v>685</v>
      </c>
      <c r="BO38" t="s">
        <v>857</v>
      </c>
      <c r="CH38" t="s">
        <v>620</v>
      </c>
      <c r="CM38" t="s">
        <v>1530</v>
      </c>
    </row>
    <row r="39" spans="2:91">
      <c r="B39" t="s">
        <v>374</v>
      </c>
      <c r="Y39" t="s">
        <v>686</v>
      </c>
      <c r="BO39" t="s">
        <v>858</v>
      </c>
      <c r="CH39" t="s">
        <v>1502</v>
      </c>
      <c r="CM39" t="s">
        <v>1531</v>
      </c>
    </row>
    <row r="40" spans="2:91">
      <c r="B40" t="s">
        <v>375</v>
      </c>
      <c r="Y40" t="s">
        <v>687</v>
      </c>
      <c r="BO40" t="s">
        <v>859</v>
      </c>
      <c r="CH40" t="s">
        <v>1503</v>
      </c>
      <c r="CM40" t="s">
        <v>1532</v>
      </c>
    </row>
    <row r="41" spans="2:91">
      <c r="B41" t="s">
        <v>376</v>
      </c>
      <c r="Y41" t="s">
        <v>688</v>
      </c>
      <c r="BO41" t="s">
        <v>860</v>
      </c>
      <c r="CM41" t="s">
        <v>1533</v>
      </c>
    </row>
    <row r="42" spans="2:91">
      <c r="B42" t="s">
        <v>377</v>
      </c>
      <c r="Y42" t="s">
        <v>689</v>
      </c>
      <c r="BO42" t="s">
        <v>861</v>
      </c>
      <c r="CM42" t="s">
        <v>1534</v>
      </c>
    </row>
    <row r="43" spans="2:91">
      <c r="B43" t="s">
        <v>378</v>
      </c>
      <c r="Y43" t="s">
        <v>690</v>
      </c>
      <c r="BO43" t="s">
        <v>862</v>
      </c>
      <c r="CM43" t="s">
        <v>1535</v>
      </c>
    </row>
    <row r="44" spans="2:91">
      <c r="B44" t="s">
        <v>379</v>
      </c>
      <c r="Y44" t="s">
        <v>691</v>
      </c>
      <c r="BO44" t="s">
        <v>863</v>
      </c>
      <c r="CM44" t="s">
        <v>1536</v>
      </c>
    </row>
    <row r="45" spans="2:91">
      <c r="B45" t="s">
        <v>380</v>
      </c>
      <c r="Y45" t="s">
        <v>692</v>
      </c>
      <c r="BO45" t="s">
        <v>864</v>
      </c>
      <c r="CM45" t="s">
        <v>1537</v>
      </c>
    </row>
    <row r="46" spans="2:91">
      <c r="B46" t="s">
        <v>381</v>
      </c>
      <c r="Y46" t="s">
        <v>693</v>
      </c>
      <c r="BO46" t="s">
        <v>865</v>
      </c>
    </row>
    <row r="47" spans="2:91">
      <c r="B47" t="s">
        <v>382</v>
      </c>
      <c r="Y47" t="s">
        <v>694</v>
      </c>
      <c r="BO47" t="s">
        <v>866</v>
      </c>
    </row>
    <row r="48" spans="2:91">
      <c r="B48" t="s">
        <v>383</v>
      </c>
      <c r="Y48" t="s">
        <v>695</v>
      </c>
      <c r="BO48" t="s">
        <v>867</v>
      </c>
    </row>
    <row r="49" spans="1:67">
      <c r="B49" t="s">
        <v>384</v>
      </c>
      <c r="Y49" t="s">
        <v>696</v>
      </c>
      <c r="BO49" t="s">
        <v>868</v>
      </c>
    </row>
    <row r="50" spans="1:67">
      <c r="A50" t="s">
        <v>353</v>
      </c>
      <c r="B50" t="s">
        <v>385</v>
      </c>
      <c r="Y50" t="s">
        <v>697</v>
      </c>
      <c r="BO50" t="s">
        <v>869</v>
      </c>
    </row>
    <row r="51" spans="1:67">
      <c r="B51" t="s">
        <v>386</v>
      </c>
      <c r="Y51" t="s">
        <v>698</v>
      </c>
      <c r="BO51" t="s">
        <v>870</v>
      </c>
    </row>
    <row r="52" spans="1:67">
      <c r="B52" t="s">
        <v>387</v>
      </c>
      <c r="Y52" t="s">
        <v>699</v>
      </c>
      <c r="BO52" t="s">
        <v>871</v>
      </c>
    </row>
    <row r="53" spans="1:67">
      <c r="B53" t="s">
        <v>388</v>
      </c>
      <c r="Y53" t="s">
        <v>700</v>
      </c>
      <c r="BO53" t="s">
        <v>872</v>
      </c>
    </row>
    <row r="54" spans="1:67">
      <c r="B54" t="s">
        <v>389</v>
      </c>
      <c r="Y54" t="s">
        <v>701</v>
      </c>
      <c r="BO54" t="s">
        <v>873</v>
      </c>
    </row>
    <row r="55" spans="1:67">
      <c r="B55" t="s">
        <v>390</v>
      </c>
      <c r="Y55" t="s">
        <v>702</v>
      </c>
      <c r="BO55" t="s">
        <v>874</v>
      </c>
    </row>
    <row r="56" spans="1:67">
      <c r="B56" t="s">
        <v>391</v>
      </c>
      <c r="Y56" t="s">
        <v>703</v>
      </c>
      <c r="BO56" t="s">
        <v>875</v>
      </c>
    </row>
    <row r="57" spans="1:67">
      <c r="B57" t="s">
        <v>392</v>
      </c>
      <c r="Y57" t="s">
        <v>704</v>
      </c>
      <c r="BO57" t="s">
        <v>876</v>
      </c>
    </row>
    <row r="58" spans="1:67">
      <c r="B58" t="s">
        <v>393</v>
      </c>
      <c r="Y58" t="s">
        <v>705</v>
      </c>
      <c r="BO58" t="s">
        <v>877</v>
      </c>
    </row>
    <row r="59" spans="1:67">
      <c r="B59" t="s">
        <v>394</v>
      </c>
      <c r="Y59" t="s">
        <v>706</v>
      </c>
      <c r="BO59" t="s">
        <v>878</v>
      </c>
    </row>
    <row r="60" spans="1:67">
      <c r="B60" t="s">
        <v>395</v>
      </c>
      <c r="Y60" t="s">
        <v>707</v>
      </c>
      <c r="BO60" t="s">
        <v>879</v>
      </c>
    </row>
    <row r="61" spans="1:67">
      <c r="B61" t="s">
        <v>396</v>
      </c>
      <c r="Y61" t="s">
        <v>708</v>
      </c>
      <c r="BO61" t="s">
        <v>880</v>
      </c>
    </row>
    <row r="62" spans="1:67">
      <c r="B62" t="s">
        <v>397</v>
      </c>
      <c r="Y62" t="s">
        <v>709</v>
      </c>
      <c r="BO62" t="s">
        <v>881</v>
      </c>
    </row>
    <row r="63" spans="1:67">
      <c r="B63" t="s">
        <v>398</v>
      </c>
      <c r="Y63" t="s">
        <v>710</v>
      </c>
      <c r="BO63" t="s">
        <v>882</v>
      </c>
    </row>
    <row r="64" spans="1:67">
      <c r="B64" t="s">
        <v>399</v>
      </c>
      <c r="Y64" t="s">
        <v>711</v>
      </c>
      <c r="BO64" t="s">
        <v>883</v>
      </c>
    </row>
    <row r="65" spans="2:67">
      <c r="B65" t="s">
        <v>400</v>
      </c>
      <c r="Y65" t="s">
        <v>712</v>
      </c>
      <c r="BO65" t="s">
        <v>884</v>
      </c>
    </row>
    <row r="66" spans="2:67">
      <c r="B66" t="s">
        <v>401</v>
      </c>
      <c r="Y66" t="s">
        <v>713</v>
      </c>
      <c r="BO66" t="s">
        <v>885</v>
      </c>
    </row>
    <row r="67" spans="2:67">
      <c r="B67" t="s">
        <v>402</v>
      </c>
      <c r="Y67" t="s">
        <v>714</v>
      </c>
      <c r="BO67" t="s">
        <v>886</v>
      </c>
    </row>
    <row r="68" spans="2:67">
      <c r="B68" t="s">
        <v>403</v>
      </c>
      <c r="Y68" t="s">
        <v>715</v>
      </c>
      <c r="BO68" t="s">
        <v>887</v>
      </c>
    </row>
    <row r="69" spans="2:67">
      <c r="B69" t="s">
        <v>404</v>
      </c>
      <c r="Y69" t="s">
        <v>716</v>
      </c>
      <c r="BO69" t="s">
        <v>888</v>
      </c>
    </row>
    <row r="70" spans="2:67">
      <c r="B70" t="s">
        <v>405</v>
      </c>
      <c r="Y70" t="s">
        <v>717</v>
      </c>
      <c r="BO70" t="s">
        <v>889</v>
      </c>
    </row>
    <row r="71" spans="2:67">
      <c r="B71" t="s">
        <v>406</v>
      </c>
      <c r="Y71" t="s">
        <v>718</v>
      </c>
      <c r="BO71" t="s">
        <v>890</v>
      </c>
    </row>
    <row r="72" spans="2:67">
      <c r="B72" t="s">
        <v>407</v>
      </c>
      <c r="Y72" t="s">
        <v>719</v>
      </c>
      <c r="BO72" t="s">
        <v>891</v>
      </c>
    </row>
    <row r="73" spans="2:67">
      <c r="B73" t="s">
        <v>408</v>
      </c>
      <c r="Y73" t="s">
        <v>720</v>
      </c>
      <c r="BO73" t="s">
        <v>892</v>
      </c>
    </row>
    <row r="74" spans="2:67">
      <c r="B74" t="s">
        <v>409</v>
      </c>
      <c r="Y74" t="s">
        <v>721</v>
      </c>
      <c r="BO74" t="s">
        <v>893</v>
      </c>
    </row>
    <row r="75" spans="2:67">
      <c r="B75" t="s">
        <v>410</v>
      </c>
      <c r="Y75" t="s">
        <v>722</v>
      </c>
      <c r="BO75" t="s">
        <v>894</v>
      </c>
    </row>
    <row r="76" spans="2:67">
      <c r="B76" t="s">
        <v>411</v>
      </c>
      <c r="Y76" t="s">
        <v>723</v>
      </c>
      <c r="BO76" t="s">
        <v>895</v>
      </c>
    </row>
    <row r="77" spans="2:67">
      <c r="B77" t="s">
        <v>412</v>
      </c>
      <c r="Y77" t="s">
        <v>724</v>
      </c>
      <c r="BO77" t="s">
        <v>896</v>
      </c>
    </row>
    <row r="78" spans="2:67">
      <c r="B78" t="s">
        <v>413</v>
      </c>
      <c r="Y78" t="s">
        <v>725</v>
      </c>
      <c r="BO78" t="s">
        <v>897</v>
      </c>
    </row>
    <row r="79" spans="2:67">
      <c r="B79" t="s">
        <v>414</v>
      </c>
      <c r="Y79" t="s">
        <v>726</v>
      </c>
      <c r="BO79" t="s">
        <v>898</v>
      </c>
    </row>
    <row r="80" spans="2:67">
      <c r="B80" t="s">
        <v>415</v>
      </c>
      <c r="Y80" t="s">
        <v>727</v>
      </c>
      <c r="BO80" t="s">
        <v>899</v>
      </c>
    </row>
    <row r="81" spans="2:67">
      <c r="B81" t="s">
        <v>416</v>
      </c>
      <c r="Y81" t="s">
        <v>728</v>
      </c>
      <c r="BO81" t="s">
        <v>900</v>
      </c>
    </row>
    <row r="82" spans="2:67">
      <c r="B82" t="s">
        <v>417</v>
      </c>
      <c r="Y82" t="s">
        <v>729</v>
      </c>
      <c r="BO82" t="s">
        <v>901</v>
      </c>
    </row>
    <row r="83" spans="2:67">
      <c r="B83" t="s">
        <v>418</v>
      </c>
      <c r="BO83" t="s">
        <v>902</v>
      </c>
    </row>
    <row r="84" spans="2:67">
      <c r="B84" t="s">
        <v>419</v>
      </c>
      <c r="BO84" t="s">
        <v>903</v>
      </c>
    </row>
    <row r="85" spans="2:67">
      <c r="B85" t="s">
        <v>420</v>
      </c>
      <c r="BO85" t="s">
        <v>904</v>
      </c>
    </row>
    <row r="86" spans="2:67">
      <c r="B86" t="s">
        <v>421</v>
      </c>
      <c r="BO86" t="s">
        <v>905</v>
      </c>
    </row>
    <row r="87" spans="2:67">
      <c r="B87" t="s">
        <v>422</v>
      </c>
      <c r="BO87" t="s">
        <v>906</v>
      </c>
    </row>
    <row r="88" spans="2:67">
      <c r="B88" t="s">
        <v>423</v>
      </c>
      <c r="BO88" t="s">
        <v>907</v>
      </c>
    </row>
    <row r="89" spans="2:67">
      <c r="B89" t="s">
        <v>424</v>
      </c>
      <c r="BO89" t="s">
        <v>908</v>
      </c>
    </row>
    <row r="90" spans="2:67">
      <c r="B90" t="s">
        <v>425</v>
      </c>
      <c r="BO90" t="s">
        <v>909</v>
      </c>
    </row>
    <row r="91" spans="2:67">
      <c r="B91" t="s">
        <v>426</v>
      </c>
      <c r="BO91" t="s">
        <v>910</v>
      </c>
    </row>
    <row r="92" spans="2:67">
      <c r="B92" t="s">
        <v>427</v>
      </c>
      <c r="BO92" t="s">
        <v>911</v>
      </c>
    </row>
    <row r="93" spans="2:67">
      <c r="B93" t="s">
        <v>428</v>
      </c>
      <c r="BO93" t="s">
        <v>912</v>
      </c>
    </row>
    <row r="94" spans="2:67">
      <c r="B94" t="s">
        <v>429</v>
      </c>
      <c r="BO94" t="s">
        <v>913</v>
      </c>
    </row>
    <row r="95" spans="2:67">
      <c r="B95" t="s">
        <v>430</v>
      </c>
      <c r="BO95" t="s">
        <v>914</v>
      </c>
    </row>
    <row r="96" spans="2:67">
      <c r="B96" t="s">
        <v>431</v>
      </c>
      <c r="BO96" t="s">
        <v>915</v>
      </c>
    </row>
    <row r="97" spans="2:67">
      <c r="B97" t="s">
        <v>432</v>
      </c>
      <c r="BO97" t="s">
        <v>916</v>
      </c>
    </row>
    <row r="98" spans="2:67">
      <c r="B98" t="s">
        <v>433</v>
      </c>
      <c r="BO98" t="s">
        <v>917</v>
      </c>
    </row>
    <row r="99" spans="2:67">
      <c r="B99" t="s">
        <v>434</v>
      </c>
      <c r="BO99" t="s">
        <v>918</v>
      </c>
    </row>
    <row r="100" spans="2:67">
      <c r="B100" t="s">
        <v>435</v>
      </c>
      <c r="BO100" t="s">
        <v>919</v>
      </c>
    </row>
    <row r="101" spans="2:67">
      <c r="B101" t="s">
        <v>436</v>
      </c>
      <c r="BO101" t="s">
        <v>920</v>
      </c>
    </row>
    <row r="102" spans="2:67">
      <c r="B102" t="s">
        <v>437</v>
      </c>
      <c r="BO102" t="s">
        <v>921</v>
      </c>
    </row>
    <row r="103" spans="2:67">
      <c r="B103" t="s">
        <v>438</v>
      </c>
      <c r="BO103" t="s">
        <v>922</v>
      </c>
    </row>
    <row r="104" spans="2:67">
      <c r="B104" t="s">
        <v>439</v>
      </c>
      <c r="BO104" t="s">
        <v>923</v>
      </c>
    </row>
    <row r="105" spans="2:67">
      <c r="B105" t="s">
        <v>440</v>
      </c>
      <c r="BO105" t="s">
        <v>924</v>
      </c>
    </row>
    <row r="106" spans="2:67">
      <c r="B106" t="s">
        <v>441</v>
      </c>
      <c r="BO106" t="s">
        <v>925</v>
      </c>
    </row>
    <row r="107" spans="2:67">
      <c r="B107" t="s">
        <v>442</v>
      </c>
      <c r="BO107" t="s">
        <v>926</v>
      </c>
    </row>
    <row r="108" spans="2:67">
      <c r="B108" t="s">
        <v>443</v>
      </c>
      <c r="BO108" t="s">
        <v>927</v>
      </c>
    </row>
    <row r="109" spans="2:67">
      <c r="B109" t="s">
        <v>444</v>
      </c>
      <c r="BO109" t="s">
        <v>928</v>
      </c>
    </row>
    <row r="110" spans="2:67">
      <c r="B110" t="s">
        <v>445</v>
      </c>
      <c r="BO110" t="s">
        <v>929</v>
      </c>
    </row>
    <row r="111" spans="2:67">
      <c r="B111" t="s">
        <v>446</v>
      </c>
      <c r="BO111" t="s">
        <v>930</v>
      </c>
    </row>
    <row r="112" spans="2:67">
      <c r="B112" t="s">
        <v>447</v>
      </c>
      <c r="BO112" t="s">
        <v>931</v>
      </c>
    </row>
    <row r="113" spans="2:67">
      <c r="B113" t="s">
        <v>448</v>
      </c>
      <c r="BO113" t="s">
        <v>932</v>
      </c>
    </row>
    <row r="114" spans="2:67">
      <c r="B114" t="s">
        <v>449</v>
      </c>
      <c r="BO114" t="s">
        <v>933</v>
      </c>
    </row>
    <row r="115" spans="2:67">
      <c r="B115" t="s">
        <v>450</v>
      </c>
      <c r="BO115" t="s">
        <v>934</v>
      </c>
    </row>
    <row r="116" spans="2:67">
      <c r="B116" t="s">
        <v>451</v>
      </c>
      <c r="BO116" t="s">
        <v>935</v>
      </c>
    </row>
    <row r="117" spans="2:67">
      <c r="B117" t="s">
        <v>452</v>
      </c>
      <c r="BO117" t="s">
        <v>936</v>
      </c>
    </row>
    <row r="118" spans="2:67">
      <c r="B118" t="s">
        <v>453</v>
      </c>
      <c r="BO118" t="s">
        <v>937</v>
      </c>
    </row>
    <row r="119" spans="2:67">
      <c r="B119" t="s">
        <v>454</v>
      </c>
      <c r="BO119" t="s">
        <v>938</v>
      </c>
    </row>
    <row r="120" spans="2:67">
      <c r="B120" t="s">
        <v>455</v>
      </c>
      <c r="BO120" t="s">
        <v>939</v>
      </c>
    </row>
    <row r="121" spans="2:67">
      <c r="B121" t="s">
        <v>456</v>
      </c>
      <c r="BO121" t="s">
        <v>940</v>
      </c>
    </row>
    <row r="122" spans="2:67">
      <c r="B122" t="s">
        <v>457</v>
      </c>
      <c r="BO122" t="s">
        <v>941</v>
      </c>
    </row>
    <row r="123" spans="2:67">
      <c r="B123" t="s">
        <v>458</v>
      </c>
      <c r="BO123" t="s">
        <v>942</v>
      </c>
    </row>
    <row r="124" spans="2:67">
      <c r="B124" t="s">
        <v>459</v>
      </c>
      <c r="BO124" t="s">
        <v>943</v>
      </c>
    </row>
    <row r="125" spans="2:67">
      <c r="B125" t="s">
        <v>460</v>
      </c>
      <c r="BO125" t="s">
        <v>944</v>
      </c>
    </row>
    <row r="126" spans="2:67">
      <c r="B126" t="s">
        <v>461</v>
      </c>
      <c r="BO126" t="s">
        <v>945</v>
      </c>
    </row>
    <row r="127" spans="2:67">
      <c r="B127" t="s">
        <v>462</v>
      </c>
      <c r="BO127" t="s">
        <v>946</v>
      </c>
    </row>
    <row r="128" spans="2:67">
      <c r="B128" t="s">
        <v>463</v>
      </c>
      <c r="BO128" t="s">
        <v>947</v>
      </c>
    </row>
    <row r="129" spans="2:67">
      <c r="B129" t="s">
        <v>464</v>
      </c>
      <c r="BO129" t="s">
        <v>948</v>
      </c>
    </row>
    <row r="130" spans="2:67">
      <c r="B130" t="s">
        <v>465</v>
      </c>
      <c r="BO130" t="s">
        <v>949</v>
      </c>
    </row>
    <row r="131" spans="2:67">
      <c r="B131" t="s">
        <v>466</v>
      </c>
      <c r="BO131" t="s">
        <v>950</v>
      </c>
    </row>
    <row r="132" spans="2:67">
      <c r="B132" t="s">
        <v>467</v>
      </c>
      <c r="BO132" t="s">
        <v>951</v>
      </c>
    </row>
    <row r="133" spans="2:67">
      <c r="B133" t="s">
        <v>468</v>
      </c>
      <c r="BO133" t="s">
        <v>952</v>
      </c>
    </row>
    <row r="134" spans="2:67">
      <c r="B134" t="s">
        <v>469</v>
      </c>
      <c r="BO134" t="s">
        <v>953</v>
      </c>
    </row>
    <row r="135" spans="2:67">
      <c r="B135" t="s">
        <v>470</v>
      </c>
      <c r="BO135" t="s">
        <v>954</v>
      </c>
    </row>
    <row r="136" spans="2:67">
      <c r="B136" t="s">
        <v>471</v>
      </c>
      <c r="BO136" t="s">
        <v>955</v>
      </c>
    </row>
    <row r="137" spans="2:67">
      <c r="B137" t="s">
        <v>472</v>
      </c>
      <c r="BO137" t="s">
        <v>956</v>
      </c>
    </row>
    <row r="138" spans="2:67">
      <c r="B138" t="s">
        <v>473</v>
      </c>
      <c r="BO138" t="s">
        <v>957</v>
      </c>
    </row>
    <row r="139" spans="2:67">
      <c r="B139" t="s">
        <v>474</v>
      </c>
      <c r="BO139" t="s">
        <v>958</v>
      </c>
    </row>
    <row r="140" spans="2:67">
      <c r="B140" t="s">
        <v>475</v>
      </c>
      <c r="BO140" t="s">
        <v>959</v>
      </c>
    </row>
    <row r="141" spans="2:67">
      <c r="B141" t="s">
        <v>476</v>
      </c>
      <c r="BO141" t="s">
        <v>960</v>
      </c>
    </row>
    <row r="142" spans="2:67">
      <c r="B142" t="s">
        <v>477</v>
      </c>
      <c r="BO142" t="s">
        <v>961</v>
      </c>
    </row>
    <row r="143" spans="2:67">
      <c r="B143" t="s">
        <v>478</v>
      </c>
      <c r="BO143" t="s">
        <v>962</v>
      </c>
    </row>
    <row r="144" spans="2:67">
      <c r="B144" t="s">
        <v>479</v>
      </c>
      <c r="BO144" t="s">
        <v>963</v>
      </c>
    </row>
    <row r="145" spans="2:67">
      <c r="B145" t="s">
        <v>480</v>
      </c>
      <c r="BO145" t="s">
        <v>964</v>
      </c>
    </row>
    <row r="146" spans="2:67">
      <c r="B146" t="s">
        <v>481</v>
      </c>
      <c r="BO146" t="s">
        <v>965</v>
      </c>
    </row>
    <row r="147" spans="2:67">
      <c r="B147" t="s">
        <v>482</v>
      </c>
      <c r="BO147" t="s">
        <v>966</v>
      </c>
    </row>
    <row r="148" spans="2:67">
      <c r="B148" t="s">
        <v>483</v>
      </c>
      <c r="BO148" t="s">
        <v>967</v>
      </c>
    </row>
    <row r="149" spans="2:67">
      <c r="B149" t="s">
        <v>484</v>
      </c>
      <c r="BO149" t="s">
        <v>968</v>
      </c>
    </row>
    <row r="150" spans="2:67">
      <c r="B150" t="s">
        <v>485</v>
      </c>
      <c r="BO150" t="s">
        <v>969</v>
      </c>
    </row>
    <row r="151" spans="2:67">
      <c r="B151" t="s">
        <v>486</v>
      </c>
      <c r="BO151" t="s">
        <v>970</v>
      </c>
    </row>
    <row r="152" spans="2:67">
      <c r="B152" t="s">
        <v>487</v>
      </c>
      <c r="BO152" t="s">
        <v>971</v>
      </c>
    </row>
    <row r="153" spans="2:67">
      <c r="B153" t="s">
        <v>488</v>
      </c>
      <c r="BO153" t="s">
        <v>972</v>
      </c>
    </row>
    <row r="154" spans="2:67">
      <c r="B154" t="s">
        <v>489</v>
      </c>
      <c r="BO154" t="s">
        <v>973</v>
      </c>
    </row>
    <row r="155" spans="2:67">
      <c r="B155" t="s">
        <v>490</v>
      </c>
      <c r="BO155" t="s">
        <v>974</v>
      </c>
    </row>
    <row r="156" spans="2:67">
      <c r="B156" t="s">
        <v>491</v>
      </c>
      <c r="BO156" t="s">
        <v>975</v>
      </c>
    </row>
    <row r="157" spans="2:67">
      <c r="B157" t="s">
        <v>492</v>
      </c>
      <c r="BO157" t="s">
        <v>976</v>
      </c>
    </row>
    <row r="158" spans="2:67">
      <c r="B158" t="s">
        <v>493</v>
      </c>
      <c r="BO158" t="s">
        <v>977</v>
      </c>
    </row>
    <row r="159" spans="2:67">
      <c r="B159" t="s">
        <v>494</v>
      </c>
      <c r="BO159" t="s">
        <v>978</v>
      </c>
    </row>
    <row r="160" spans="2:67">
      <c r="B160" t="s">
        <v>495</v>
      </c>
      <c r="BO160" t="s">
        <v>979</v>
      </c>
    </row>
    <row r="161" spans="2:67">
      <c r="B161" t="s">
        <v>496</v>
      </c>
      <c r="BO161" t="s">
        <v>980</v>
      </c>
    </row>
    <row r="162" spans="2:67">
      <c r="B162" t="s">
        <v>497</v>
      </c>
      <c r="BO162" t="s">
        <v>981</v>
      </c>
    </row>
    <row r="163" spans="2:67">
      <c r="B163" t="s">
        <v>498</v>
      </c>
      <c r="BO163" t="s">
        <v>982</v>
      </c>
    </row>
    <row r="164" spans="2:67">
      <c r="B164" t="s">
        <v>499</v>
      </c>
      <c r="BO164" t="s">
        <v>983</v>
      </c>
    </row>
    <row r="165" spans="2:67">
      <c r="B165" t="s">
        <v>500</v>
      </c>
      <c r="BO165" t="s">
        <v>984</v>
      </c>
    </row>
    <row r="166" spans="2:67">
      <c r="B166" t="s">
        <v>501</v>
      </c>
      <c r="BO166" t="s">
        <v>985</v>
      </c>
    </row>
    <row r="167" spans="2:67">
      <c r="B167" t="s">
        <v>502</v>
      </c>
      <c r="BO167" t="s">
        <v>986</v>
      </c>
    </row>
    <row r="168" spans="2:67">
      <c r="B168" t="s">
        <v>503</v>
      </c>
      <c r="BO168" t="s">
        <v>987</v>
      </c>
    </row>
    <row r="169" spans="2:67">
      <c r="B169" t="s">
        <v>504</v>
      </c>
      <c r="BO169" t="s">
        <v>988</v>
      </c>
    </row>
    <row r="170" spans="2:67">
      <c r="B170" t="s">
        <v>505</v>
      </c>
      <c r="BO170" t="s">
        <v>989</v>
      </c>
    </row>
    <row r="171" spans="2:67">
      <c r="B171" t="s">
        <v>506</v>
      </c>
      <c r="BO171" t="s">
        <v>990</v>
      </c>
    </row>
    <row r="172" spans="2:67">
      <c r="B172" t="s">
        <v>507</v>
      </c>
      <c r="BO172" t="s">
        <v>991</v>
      </c>
    </row>
    <row r="173" spans="2:67">
      <c r="B173" t="s">
        <v>508</v>
      </c>
      <c r="BO173" t="s">
        <v>992</v>
      </c>
    </row>
    <row r="174" spans="2:67">
      <c r="B174" t="s">
        <v>509</v>
      </c>
      <c r="BO174" t="s">
        <v>993</v>
      </c>
    </row>
    <row r="175" spans="2:67">
      <c r="B175" t="s">
        <v>510</v>
      </c>
      <c r="BO175" t="s">
        <v>994</v>
      </c>
    </row>
    <row r="176" spans="2:67">
      <c r="B176" t="s">
        <v>511</v>
      </c>
      <c r="BO176" t="s">
        <v>995</v>
      </c>
    </row>
    <row r="177" spans="2:67">
      <c r="B177" t="s">
        <v>512</v>
      </c>
      <c r="BO177" t="s">
        <v>996</v>
      </c>
    </row>
    <row r="178" spans="2:67">
      <c r="B178" t="s">
        <v>513</v>
      </c>
      <c r="BO178" t="s">
        <v>997</v>
      </c>
    </row>
    <row r="179" spans="2:67">
      <c r="B179" t="s">
        <v>514</v>
      </c>
      <c r="BO179" t="s">
        <v>998</v>
      </c>
    </row>
    <row r="180" spans="2:67">
      <c r="B180" t="s">
        <v>515</v>
      </c>
      <c r="BO180" t="s">
        <v>999</v>
      </c>
    </row>
    <row r="181" spans="2:67">
      <c r="B181" t="s">
        <v>516</v>
      </c>
      <c r="BO181" t="s">
        <v>1000</v>
      </c>
    </row>
    <row r="182" spans="2:67">
      <c r="B182" t="s">
        <v>517</v>
      </c>
      <c r="BO182" t="s">
        <v>1001</v>
      </c>
    </row>
    <row r="183" spans="2:67">
      <c r="B183" t="s">
        <v>518</v>
      </c>
      <c r="BO183" t="s">
        <v>1002</v>
      </c>
    </row>
    <row r="184" spans="2:67">
      <c r="B184" t="s">
        <v>519</v>
      </c>
      <c r="BO184" t="s">
        <v>1003</v>
      </c>
    </row>
    <row r="185" spans="2:67">
      <c r="B185" t="s">
        <v>520</v>
      </c>
      <c r="BO185" t="s">
        <v>1004</v>
      </c>
    </row>
    <row r="186" spans="2:67">
      <c r="B186" t="s">
        <v>521</v>
      </c>
      <c r="BO186" t="s">
        <v>1005</v>
      </c>
    </row>
    <row r="187" spans="2:67">
      <c r="B187" t="s">
        <v>522</v>
      </c>
      <c r="BO187" t="s">
        <v>1006</v>
      </c>
    </row>
    <row r="188" spans="2:67">
      <c r="B188" t="s">
        <v>523</v>
      </c>
      <c r="BO188" t="s">
        <v>1007</v>
      </c>
    </row>
    <row r="189" spans="2:67">
      <c r="B189" t="s">
        <v>524</v>
      </c>
      <c r="BO189" t="s">
        <v>1008</v>
      </c>
    </row>
    <row r="190" spans="2:67">
      <c r="B190" t="s">
        <v>525</v>
      </c>
      <c r="BO190" t="s">
        <v>1009</v>
      </c>
    </row>
    <row r="191" spans="2:67">
      <c r="B191" t="s">
        <v>526</v>
      </c>
      <c r="BO191" t="s">
        <v>1010</v>
      </c>
    </row>
    <row r="192" spans="2:67">
      <c r="B192" t="s">
        <v>527</v>
      </c>
      <c r="BO192" t="s">
        <v>1011</v>
      </c>
    </row>
    <row r="193" spans="2:67">
      <c r="B193" t="s">
        <v>528</v>
      </c>
      <c r="BO193" t="s">
        <v>1012</v>
      </c>
    </row>
    <row r="194" spans="2:67">
      <c r="B194" t="s">
        <v>529</v>
      </c>
      <c r="BO194" t="s">
        <v>1013</v>
      </c>
    </row>
    <row r="195" spans="2:67">
      <c r="B195" t="s">
        <v>530</v>
      </c>
      <c r="BO195" t="s">
        <v>1014</v>
      </c>
    </row>
    <row r="196" spans="2:67">
      <c r="B196" t="s">
        <v>531</v>
      </c>
      <c r="BO196" t="s">
        <v>1015</v>
      </c>
    </row>
    <row r="197" spans="2:67">
      <c r="B197" t="s">
        <v>532</v>
      </c>
      <c r="BO197" t="s">
        <v>1016</v>
      </c>
    </row>
    <row r="198" spans="2:67">
      <c r="B198" t="s">
        <v>533</v>
      </c>
      <c r="BO198" t="s">
        <v>1017</v>
      </c>
    </row>
    <row r="199" spans="2:67">
      <c r="B199" t="s">
        <v>534</v>
      </c>
      <c r="BO199" t="s">
        <v>1018</v>
      </c>
    </row>
    <row r="200" spans="2:67">
      <c r="B200" t="s">
        <v>535</v>
      </c>
      <c r="BO200" t="s">
        <v>1019</v>
      </c>
    </row>
    <row r="201" spans="2:67">
      <c r="B201" t="s">
        <v>536</v>
      </c>
      <c r="BO201" t="s">
        <v>1020</v>
      </c>
    </row>
    <row r="202" spans="2:67">
      <c r="B202" t="s">
        <v>537</v>
      </c>
      <c r="BO202" t="s">
        <v>1021</v>
      </c>
    </row>
    <row r="203" spans="2:67">
      <c r="B203" t="s">
        <v>538</v>
      </c>
      <c r="BO203" t="s">
        <v>1022</v>
      </c>
    </row>
    <row r="204" spans="2:67">
      <c r="B204" t="s">
        <v>539</v>
      </c>
      <c r="BO204" t="s">
        <v>1023</v>
      </c>
    </row>
    <row r="205" spans="2:67">
      <c r="B205" t="s">
        <v>540</v>
      </c>
      <c r="BO205" t="s">
        <v>1024</v>
      </c>
    </row>
    <row r="206" spans="2:67">
      <c r="B206" t="s">
        <v>541</v>
      </c>
      <c r="BO206" t="s">
        <v>1025</v>
      </c>
    </row>
    <row r="207" spans="2:67">
      <c r="B207" t="s">
        <v>542</v>
      </c>
      <c r="BO207" t="s">
        <v>1026</v>
      </c>
    </row>
    <row r="208" spans="2:67">
      <c r="B208" t="s">
        <v>543</v>
      </c>
      <c r="BO208" t="s">
        <v>1027</v>
      </c>
    </row>
    <row r="209" spans="2:67">
      <c r="B209" t="s">
        <v>544</v>
      </c>
      <c r="BO209" t="s">
        <v>1028</v>
      </c>
    </row>
    <row r="210" spans="2:67">
      <c r="B210" t="s">
        <v>545</v>
      </c>
      <c r="BO210" t="s">
        <v>1029</v>
      </c>
    </row>
    <row r="211" spans="2:67">
      <c r="B211" t="s">
        <v>546</v>
      </c>
      <c r="BO211" t="s">
        <v>1030</v>
      </c>
    </row>
    <row r="212" spans="2:67">
      <c r="B212" t="s">
        <v>547</v>
      </c>
      <c r="BO212" t="s">
        <v>1031</v>
      </c>
    </row>
    <row r="213" spans="2:67">
      <c r="B213" t="s">
        <v>548</v>
      </c>
      <c r="BO213" t="s">
        <v>1032</v>
      </c>
    </row>
    <row r="214" spans="2:67">
      <c r="B214" t="s">
        <v>549</v>
      </c>
      <c r="BO214" t="s">
        <v>1033</v>
      </c>
    </row>
    <row r="215" spans="2:67">
      <c r="B215" t="s">
        <v>550</v>
      </c>
      <c r="BO215" t="s">
        <v>1034</v>
      </c>
    </row>
    <row r="216" spans="2:67">
      <c r="B216" t="s">
        <v>551</v>
      </c>
      <c r="BO216" t="s">
        <v>1035</v>
      </c>
    </row>
    <row r="217" spans="2:67">
      <c r="B217" t="s">
        <v>552</v>
      </c>
      <c r="BO217" t="s">
        <v>1036</v>
      </c>
    </row>
    <row r="218" spans="2:67">
      <c r="B218" t="s">
        <v>553</v>
      </c>
      <c r="BO218" t="s">
        <v>1037</v>
      </c>
    </row>
    <row r="219" spans="2:67">
      <c r="B219" t="s">
        <v>554</v>
      </c>
      <c r="BO219" t="s">
        <v>1038</v>
      </c>
    </row>
    <row r="220" spans="2:67">
      <c r="B220" t="s">
        <v>555</v>
      </c>
      <c r="BO220" t="s">
        <v>1039</v>
      </c>
    </row>
    <row r="221" spans="2:67">
      <c r="B221" t="s">
        <v>556</v>
      </c>
      <c r="BO221" t="s">
        <v>1040</v>
      </c>
    </row>
    <row r="222" spans="2:67">
      <c r="B222" t="s">
        <v>557</v>
      </c>
      <c r="BO222" t="s">
        <v>1041</v>
      </c>
    </row>
    <row r="223" spans="2:67">
      <c r="B223" t="s">
        <v>558</v>
      </c>
      <c r="BO223" t="s">
        <v>1042</v>
      </c>
    </row>
    <row r="224" spans="2:67">
      <c r="B224" t="s">
        <v>559</v>
      </c>
      <c r="BO224" t="s">
        <v>1043</v>
      </c>
    </row>
    <row r="225" spans="2:67">
      <c r="B225" t="s">
        <v>560</v>
      </c>
      <c r="BO225" t="s">
        <v>1044</v>
      </c>
    </row>
    <row r="226" spans="2:67">
      <c r="B226" t="s">
        <v>561</v>
      </c>
      <c r="BO226" t="s">
        <v>1045</v>
      </c>
    </row>
    <row r="227" spans="2:67">
      <c r="B227" t="s">
        <v>562</v>
      </c>
      <c r="BO227" t="s">
        <v>1046</v>
      </c>
    </row>
    <row r="228" spans="2:67">
      <c r="B228" t="s">
        <v>563</v>
      </c>
      <c r="BO228" t="s">
        <v>1047</v>
      </c>
    </row>
    <row r="229" spans="2:67">
      <c r="B229" t="s">
        <v>564</v>
      </c>
      <c r="BO229" t="s">
        <v>1048</v>
      </c>
    </row>
    <row r="230" spans="2:67">
      <c r="B230" t="s">
        <v>565</v>
      </c>
      <c r="BO230" t="s">
        <v>1049</v>
      </c>
    </row>
    <row r="231" spans="2:67">
      <c r="B231" t="s">
        <v>566</v>
      </c>
      <c r="BO231" t="s">
        <v>1050</v>
      </c>
    </row>
    <row r="232" spans="2:67">
      <c r="B232" t="s">
        <v>567</v>
      </c>
      <c r="BO232" t="s">
        <v>1051</v>
      </c>
    </row>
    <row r="233" spans="2:67">
      <c r="B233" t="s">
        <v>568</v>
      </c>
      <c r="BO233" t="s">
        <v>1052</v>
      </c>
    </row>
    <row r="234" spans="2:67">
      <c r="B234" t="s">
        <v>569</v>
      </c>
      <c r="BO234" t="s">
        <v>1053</v>
      </c>
    </row>
    <row r="235" spans="2:67">
      <c r="B235" t="s">
        <v>570</v>
      </c>
      <c r="BO235" t="s">
        <v>1054</v>
      </c>
    </row>
    <row r="236" spans="2:67">
      <c r="B236" t="s">
        <v>571</v>
      </c>
      <c r="BO236" t="s">
        <v>1055</v>
      </c>
    </row>
    <row r="237" spans="2:67">
      <c r="B237" t="s">
        <v>572</v>
      </c>
      <c r="BO237" t="s">
        <v>1056</v>
      </c>
    </row>
    <row r="238" spans="2:67">
      <c r="B238" t="s">
        <v>573</v>
      </c>
      <c r="BO238" t="s">
        <v>1057</v>
      </c>
    </row>
    <row r="239" spans="2:67">
      <c r="B239" t="s">
        <v>574</v>
      </c>
      <c r="BO239" t="s">
        <v>1058</v>
      </c>
    </row>
    <row r="240" spans="2:67">
      <c r="B240" t="s">
        <v>575</v>
      </c>
      <c r="BO240" t="s">
        <v>1059</v>
      </c>
    </row>
    <row r="241" spans="2:67">
      <c r="B241" t="s">
        <v>576</v>
      </c>
      <c r="BO241" t="s">
        <v>1060</v>
      </c>
    </row>
    <row r="242" spans="2:67">
      <c r="B242" t="s">
        <v>577</v>
      </c>
      <c r="BO242" t="s">
        <v>1061</v>
      </c>
    </row>
    <row r="243" spans="2:67">
      <c r="B243" t="s">
        <v>578</v>
      </c>
      <c r="BO243" t="s">
        <v>1062</v>
      </c>
    </row>
    <row r="244" spans="2:67">
      <c r="B244" t="s">
        <v>579</v>
      </c>
      <c r="BO244" t="s">
        <v>1063</v>
      </c>
    </row>
    <row r="245" spans="2:67">
      <c r="B245" t="s">
        <v>580</v>
      </c>
      <c r="BO245" t="s">
        <v>1064</v>
      </c>
    </row>
    <row r="246" spans="2:67">
      <c r="B246" t="s">
        <v>581</v>
      </c>
      <c r="BO246" t="s">
        <v>1065</v>
      </c>
    </row>
    <row r="247" spans="2:67">
      <c r="B247" t="s">
        <v>582</v>
      </c>
      <c r="BO247" t="s">
        <v>1066</v>
      </c>
    </row>
    <row r="248" spans="2:67">
      <c r="B248" t="s">
        <v>583</v>
      </c>
      <c r="BO248" t="s">
        <v>1067</v>
      </c>
    </row>
    <row r="249" spans="2:67">
      <c r="B249" t="s">
        <v>584</v>
      </c>
      <c r="BO249" t="s">
        <v>1068</v>
      </c>
    </row>
    <row r="250" spans="2:67">
      <c r="B250" t="s">
        <v>585</v>
      </c>
      <c r="BO250" t="s">
        <v>1069</v>
      </c>
    </row>
    <row r="251" spans="2:67">
      <c r="B251" t="s">
        <v>586</v>
      </c>
      <c r="BO251" t="s">
        <v>1070</v>
      </c>
    </row>
    <row r="252" spans="2:67">
      <c r="B252" t="s">
        <v>587</v>
      </c>
      <c r="BO252" t="s">
        <v>1071</v>
      </c>
    </row>
    <row r="253" spans="2:67">
      <c r="B253" t="s">
        <v>588</v>
      </c>
      <c r="BO253" t="s">
        <v>1072</v>
      </c>
    </row>
    <row r="254" spans="2:67">
      <c r="B254" t="s">
        <v>589</v>
      </c>
      <c r="BO254" t="s">
        <v>1073</v>
      </c>
    </row>
    <row r="255" spans="2:67">
      <c r="B255" t="s">
        <v>590</v>
      </c>
      <c r="BO255" t="s">
        <v>1074</v>
      </c>
    </row>
    <row r="256" spans="2:67">
      <c r="B256" t="s">
        <v>591</v>
      </c>
      <c r="BO256" t="s">
        <v>1075</v>
      </c>
    </row>
    <row r="257" spans="2:67">
      <c r="B257" t="s">
        <v>592</v>
      </c>
      <c r="BO257" t="s">
        <v>1076</v>
      </c>
    </row>
    <row r="258" spans="2:67">
      <c r="B258" t="s">
        <v>593</v>
      </c>
      <c r="BO258" t="s">
        <v>1077</v>
      </c>
    </row>
    <row r="259" spans="2:67">
      <c r="B259" t="s">
        <v>285</v>
      </c>
      <c r="BO259" t="s">
        <v>1078</v>
      </c>
    </row>
    <row r="260" spans="2:67">
      <c r="B260" t="s">
        <v>594</v>
      </c>
      <c r="BO260" t="s">
        <v>1079</v>
      </c>
    </row>
    <row r="261" spans="2:67">
      <c r="B261" t="s">
        <v>595</v>
      </c>
      <c r="BO261" t="s">
        <v>1080</v>
      </c>
    </row>
    <row r="262" spans="2:67">
      <c r="B262" t="s">
        <v>596</v>
      </c>
      <c r="BO262" t="s">
        <v>1081</v>
      </c>
    </row>
    <row r="263" spans="2:67">
      <c r="B263" t="s">
        <v>597</v>
      </c>
      <c r="BO263" t="s">
        <v>1082</v>
      </c>
    </row>
    <row r="264" spans="2:67">
      <c r="B264" t="s">
        <v>598</v>
      </c>
      <c r="BO264" t="s">
        <v>1083</v>
      </c>
    </row>
    <row r="265" spans="2:67">
      <c r="B265" t="s">
        <v>599</v>
      </c>
      <c r="BO265" t="s">
        <v>1084</v>
      </c>
    </row>
    <row r="266" spans="2:67">
      <c r="B266" t="s">
        <v>600</v>
      </c>
      <c r="BO266" t="s">
        <v>1085</v>
      </c>
    </row>
    <row r="267" spans="2:67">
      <c r="B267" t="s">
        <v>601</v>
      </c>
      <c r="BO267" t="s">
        <v>1086</v>
      </c>
    </row>
    <row r="268" spans="2:67">
      <c r="B268" t="s">
        <v>602</v>
      </c>
      <c r="BO268" t="s">
        <v>1087</v>
      </c>
    </row>
    <row r="269" spans="2:67">
      <c r="B269" t="s">
        <v>603</v>
      </c>
      <c r="BO269" t="s">
        <v>1088</v>
      </c>
    </row>
    <row r="270" spans="2:67">
      <c r="B270" t="s">
        <v>604</v>
      </c>
      <c r="BO270" t="s">
        <v>1089</v>
      </c>
    </row>
    <row r="271" spans="2:67">
      <c r="B271" t="s">
        <v>605</v>
      </c>
      <c r="BO271" t="s">
        <v>1090</v>
      </c>
    </row>
    <row r="272" spans="2:67">
      <c r="B272" t="s">
        <v>606</v>
      </c>
      <c r="BO272" t="s">
        <v>1091</v>
      </c>
    </row>
    <row r="273" spans="67:67">
      <c r="BO273" t="s">
        <v>1092</v>
      </c>
    </row>
    <row r="274" spans="67:67">
      <c r="BO274" t="s">
        <v>1093</v>
      </c>
    </row>
    <row r="275" spans="67:67">
      <c r="BO275" t="s">
        <v>1094</v>
      </c>
    </row>
    <row r="276" spans="67:67">
      <c r="BO276" t="s">
        <v>1095</v>
      </c>
    </row>
    <row r="277" spans="67:67">
      <c r="BO277" t="s">
        <v>1096</v>
      </c>
    </row>
    <row r="278" spans="67:67">
      <c r="BO278" t="s">
        <v>1097</v>
      </c>
    </row>
    <row r="279" spans="67:67">
      <c r="BO279" t="s">
        <v>1098</v>
      </c>
    </row>
    <row r="280" spans="67:67">
      <c r="BO280" t="s">
        <v>1099</v>
      </c>
    </row>
    <row r="281" spans="67:67">
      <c r="BO281" t="s">
        <v>1100</v>
      </c>
    </row>
    <row r="282" spans="67:67">
      <c r="BO282" t="s">
        <v>1101</v>
      </c>
    </row>
    <row r="283" spans="67:67">
      <c r="BO283" t="s">
        <v>1102</v>
      </c>
    </row>
    <row r="284" spans="67:67">
      <c r="BO284" t="s">
        <v>1103</v>
      </c>
    </row>
    <row r="285" spans="67:67">
      <c r="BO285" t="s">
        <v>1104</v>
      </c>
    </row>
    <row r="286" spans="67:67">
      <c r="BO286" t="s">
        <v>1105</v>
      </c>
    </row>
    <row r="287" spans="67:67">
      <c r="BO287" t="s">
        <v>1106</v>
      </c>
    </row>
    <row r="288" spans="67:67">
      <c r="BO288" t="s">
        <v>1107</v>
      </c>
    </row>
    <row r="289" spans="67:67">
      <c r="BO289" t="s">
        <v>1108</v>
      </c>
    </row>
    <row r="290" spans="67:67">
      <c r="BO290" t="s">
        <v>1109</v>
      </c>
    </row>
    <row r="291" spans="67:67">
      <c r="BO291" t="s">
        <v>1110</v>
      </c>
    </row>
    <row r="292" spans="67:67">
      <c r="BO292" t="s">
        <v>1111</v>
      </c>
    </row>
    <row r="293" spans="67:67">
      <c r="BO293" t="s">
        <v>1112</v>
      </c>
    </row>
    <row r="294" spans="67:67">
      <c r="BO294" t="s">
        <v>1113</v>
      </c>
    </row>
    <row r="295" spans="67:67">
      <c r="BO295" t="s">
        <v>1114</v>
      </c>
    </row>
    <row r="296" spans="67:67">
      <c r="BO296" t="s">
        <v>1115</v>
      </c>
    </row>
    <row r="297" spans="67:67">
      <c r="BO297" t="s">
        <v>1116</v>
      </c>
    </row>
    <row r="298" spans="67:67">
      <c r="BO298" t="s">
        <v>1117</v>
      </c>
    </row>
    <row r="299" spans="67:67">
      <c r="BO299" t="s">
        <v>1118</v>
      </c>
    </row>
    <row r="300" spans="67:67">
      <c r="BO300" t="s">
        <v>1119</v>
      </c>
    </row>
    <row r="301" spans="67:67">
      <c r="BO301" t="s">
        <v>1120</v>
      </c>
    </row>
    <row r="302" spans="67:67">
      <c r="BO302" t="s">
        <v>1121</v>
      </c>
    </row>
    <row r="303" spans="67:67">
      <c r="BO303" t="s">
        <v>1122</v>
      </c>
    </row>
    <row r="304" spans="67:67">
      <c r="BO304" t="s">
        <v>1123</v>
      </c>
    </row>
    <row r="305" spans="67:67">
      <c r="BO305" t="s">
        <v>1124</v>
      </c>
    </row>
    <row r="306" spans="67:67">
      <c r="BO306" t="s">
        <v>1125</v>
      </c>
    </row>
    <row r="307" spans="67:67">
      <c r="BO307" t="s">
        <v>1126</v>
      </c>
    </row>
    <row r="308" spans="67:67">
      <c r="BO308" t="s">
        <v>1127</v>
      </c>
    </row>
    <row r="309" spans="67:67">
      <c r="BO309" t="s">
        <v>1128</v>
      </c>
    </row>
    <row r="310" spans="67:67">
      <c r="BO310" t="s">
        <v>1129</v>
      </c>
    </row>
    <row r="311" spans="67:67">
      <c r="BO311" t="s">
        <v>1130</v>
      </c>
    </row>
    <row r="312" spans="67:67">
      <c r="BO312" t="s">
        <v>1131</v>
      </c>
    </row>
    <row r="313" spans="67:67">
      <c r="BO313" t="s">
        <v>1132</v>
      </c>
    </row>
    <row r="314" spans="67:67">
      <c r="BO314" t="s">
        <v>1133</v>
      </c>
    </row>
    <row r="315" spans="67:67">
      <c r="BO315" t="s">
        <v>1134</v>
      </c>
    </row>
    <row r="316" spans="67:67">
      <c r="BO316" t="s">
        <v>1135</v>
      </c>
    </row>
    <row r="317" spans="67:67">
      <c r="BO317" t="s">
        <v>1136</v>
      </c>
    </row>
    <row r="318" spans="67:67">
      <c r="BO318" t="s">
        <v>1137</v>
      </c>
    </row>
    <row r="319" spans="67:67">
      <c r="BO319" t="s">
        <v>1138</v>
      </c>
    </row>
    <row r="320" spans="67:67">
      <c r="BO320" t="s">
        <v>1139</v>
      </c>
    </row>
    <row r="321" spans="67:67">
      <c r="BO321" t="s">
        <v>1140</v>
      </c>
    </row>
    <row r="322" spans="67:67">
      <c r="BO322" t="s">
        <v>1141</v>
      </c>
    </row>
    <row r="323" spans="67:67">
      <c r="BO323" t="s">
        <v>1142</v>
      </c>
    </row>
    <row r="324" spans="67:67">
      <c r="BO324" t="s">
        <v>1143</v>
      </c>
    </row>
    <row r="325" spans="67:67">
      <c r="BO325" t="s">
        <v>1144</v>
      </c>
    </row>
    <row r="326" spans="67:67">
      <c r="BO326" t="s">
        <v>1145</v>
      </c>
    </row>
    <row r="327" spans="67:67">
      <c r="BO327" t="s">
        <v>1146</v>
      </c>
    </row>
    <row r="328" spans="67:67">
      <c r="BO328" t="s">
        <v>1147</v>
      </c>
    </row>
    <row r="329" spans="67:67">
      <c r="BO329" t="s">
        <v>1148</v>
      </c>
    </row>
    <row r="330" spans="67:67">
      <c r="BO330" t="s">
        <v>1149</v>
      </c>
    </row>
    <row r="331" spans="67:67">
      <c r="BO331" t="s">
        <v>1150</v>
      </c>
    </row>
    <row r="332" spans="67:67">
      <c r="BO332" t="s">
        <v>1151</v>
      </c>
    </row>
    <row r="333" spans="67:67">
      <c r="BO333" t="s">
        <v>1152</v>
      </c>
    </row>
    <row r="334" spans="67:67">
      <c r="BO334" t="s">
        <v>1153</v>
      </c>
    </row>
    <row r="335" spans="67:67">
      <c r="BO335" t="s">
        <v>1154</v>
      </c>
    </row>
    <row r="336" spans="67:67">
      <c r="BO336" t="s">
        <v>1155</v>
      </c>
    </row>
    <row r="337" spans="67:67">
      <c r="BO337" t="s">
        <v>1156</v>
      </c>
    </row>
    <row r="338" spans="67:67">
      <c r="BO338" t="s">
        <v>1157</v>
      </c>
    </row>
    <row r="339" spans="67:67">
      <c r="BO339" t="s">
        <v>1158</v>
      </c>
    </row>
    <row r="340" spans="67:67">
      <c r="BO340" t="s">
        <v>1159</v>
      </c>
    </row>
    <row r="341" spans="67:67">
      <c r="BO341" t="s">
        <v>1160</v>
      </c>
    </row>
    <row r="342" spans="67:67">
      <c r="BO342" t="s">
        <v>1161</v>
      </c>
    </row>
    <row r="343" spans="67:67">
      <c r="BO343" t="s">
        <v>1162</v>
      </c>
    </row>
    <row r="344" spans="67:67">
      <c r="BO344" t="s">
        <v>1163</v>
      </c>
    </row>
    <row r="345" spans="67:67">
      <c r="BO345" t="s">
        <v>1164</v>
      </c>
    </row>
    <row r="346" spans="67:67">
      <c r="BO346" t="s">
        <v>1165</v>
      </c>
    </row>
    <row r="347" spans="67:67">
      <c r="BO347" t="s">
        <v>1166</v>
      </c>
    </row>
    <row r="348" spans="67:67">
      <c r="BO348" t="s">
        <v>1167</v>
      </c>
    </row>
    <row r="349" spans="67:67">
      <c r="BO349" t="s">
        <v>1168</v>
      </c>
    </row>
    <row r="350" spans="67:67">
      <c r="BO350" t="s">
        <v>1169</v>
      </c>
    </row>
    <row r="351" spans="67:67">
      <c r="BO351" t="s">
        <v>1170</v>
      </c>
    </row>
    <row r="352" spans="67:67">
      <c r="BO352" t="s">
        <v>1171</v>
      </c>
    </row>
    <row r="353" spans="67:67">
      <c r="BO353" t="s">
        <v>1172</v>
      </c>
    </row>
    <row r="354" spans="67:67">
      <c r="BO354" t="s">
        <v>1173</v>
      </c>
    </row>
    <row r="355" spans="67:67">
      <c r="BO355" t="s">
        <v>1174</v>
      </c>
    </row>
    <row r="356" spans="67:67">
      <c r="BO356" t="s">
        <v>1175</v>
      </c>
    </row>
    <row r="357" spans="67:67">
      <c r="BO357" t="s">
        <v>1176</v>
      </c>
    </row>
    <row r="358" spans="67:67">
      <c r="BO358" t="s">
        <v>1177</v>
      </c>
    </row>
    <row r="359" spans="67:67">
      <c r="BO359" t="s">
        <v>1178</v>
      </c>
    </row>
    <row r="360" spans="67:67">
      <c r="BO360" t="s">
        <v>1179</v>
      </c>
    </row>
    <row r="361" spans="67:67">
      <c r="BO361" t="s">
        <v>1180</v>
      </c>
    </row>
    <row r="362" spans="67:67">
      <c r="BO362" t="s">
        <v>1181</v>
      </c>
    </row>
    <row r="363" spans="67:67">
      <c r="BO363" t="s">
        <v>1182</v>
      </c>
    </row>
    <row r="364" spans="67:67">
      <c r="BO364" t="s">
        <v>1183</v>
      </c>
    </row>
    <row r="365" spans="67:67">
      <c r="BO365" t="s">
        <v>1184</v>
      </c>
    </row>
    <row r="366" spans="67:67">
      <c r="BO366" t="s">
        <v>1185</v>
      </c>
    </row>
    <row r="367" spans="67:67">
      <c r="BO367" t="s">
        <v>1186</v>
      </c>
    </row>
    <row r="368" spans="67:67">
      <c r="BO368" t="s">
        <v>1187</v>
      </c>
    </row>
    <row r="369" spans="67:67">
      <c r="BO369" t="s">
        <v>1188</v>
      </c>
    </row>
    <row r="370" spans="67:67">
      <c r="BO370" t="s">
        <v>1189</v>
      </c>
    </row>
    <row r="371" spans="67:67">
      <c r="BO371" t="s">
        <v>1190</v>
      </c>
    </row>
    <row r="372" spans="67:67">
      <c r="BO372" t="s">
        <v>1191</v>
      </c>
    </row>
    <row r="373" spans="67:67">
      <c r="BO373" t="s">
        <v>1192</v>
      </c>
    </row>
    <row r="374" spans="67:67">
      <c r="BO374" t="s">
        <v>1193</v>
      </c>
    </row>
    <row r="375" spans="67:67">
      <c r="BO375" t="s">
        <v>1194</v>
      </c>
    </row>
    <row r="376" spans="67:67">
      <c r="BO376" t="s">
        <v>1195</v>
      </c>
    </row>
    <row r="377" spans="67:67">
      <c r="BO377" t="s">
        <v>1196</v>
      </c>
    </row>
    <row r="378" spans="67:67">
      <c r="BO378" t="s">
        <v>1197</v>
      </c>
    </row>
    <row r="379" spans="67:67">
      <c r="BO379" t="s">
        <v>1198</v>
      </c>
    </row>
    <row r="380" spans="67:67">
      <c r="BO380" t="s">
        <v>1199</v>
      </c>
    </row>
    <row r="381" spans="67:67">
      <c r="BO381" t="s">
        <v>1200</v>
      </c>
    </row>
    <row r="382" spans="67:67">
      <c r="BO382" t="s">
        <v>1201</v>
      </c>
    </row>
    <row r="383" spans="67:67">
      <c r="BO383" t="s">
        <v>1202</v>
      </c>
    </row>
    <row r="384" spans="67:67">
      <c r="BO384" t="s">
        <v>1203</v>
      </c>
    </row>
    <row r="385" spans="67:67">
      <c r="BO385" t="s">
        <v>1204</v>
      </c>
    </row>
    <row r="386" spans="67:67">
      <c r="BO386" t="s">
        <v>1205</v>
      </c>
    </row>
    <row r="387" spans="67:67">
      <c r="BO387" t="s">
        <v>1206</v>
      </c>
    </row>
    <row r="388" spans="67:67">
      <c r="BO388" t="s">
        <v>1207</v>
      </c>
    </row>
    <row r="389" spans="67:67">
      <c r="BO389" t="s">
        <v>1208</v>
      </c>
    </row>
    <row r="390" spans="67:67">
      <c r="BO390" t="s">
        <v>1209</v>
      </c>
    </row>
    <row r="391" spans="67:67">
      <c r="BO391" t="s">
        <v>1210</v>
      </c>
    </row>
    <row r="392" spans="67:67">
      <c r="BO392" t="s">
        <v>1211</v>
      </c>
    </row>
    <row r="393" spans="67:67">
      <c r="BO393" t="s">
        <v>1212</v>
      </c>
    </row>
    <row r="394" spans="67:67">
      <c r="BO394" t="s">
        <v>1213</v>
      </c>
    </row>
    <row r="395" spans="67:67">
      <c r="BO395" t="s">
        <v>1214</v>
      </c>
    </row>
    <row r="396" spans="67:67">
      <c r="BO396" t="s">
        <v>1215</v>
      </c>
    </row>
    <row r="397" spans="67:67">
      <c r="BO397" t="s">
        <v>1216</v>
      </c>
    </row>
    <row r="398" spans="67:67">
      <c r="BO398" t="s">
        <v>1217</v>
      </c>
    </row>
    <row r="399" spans="67:67">
      <c r="BO399" t="s">
        <v>1218</v>
      </c>
    </row>
    <row r="400" spans="67:67">
      <c r="BO400" t="s">
        <v>1219</v>
      </c>
    </row>
    <row r="401" spans="67:67">
      <c r="BO401" t="s">
        <v>1220</v>
      </c>
    </row>
    <row r="402" spans="67:67">
      <c r="BO402" t="s">
        <v>1221</v>
      </c>
    </row>
    <row r="403" spans="67:67">
      <c r="BO403" t="s">
        <v>1222</v>
      </c>
    </row>
    <row r="404" spans="67:67">
      <c r="BO404" t="s">
        <v>1223</v>
      </c>
    </row>
    <row r="405" spans="67:67">
      <c r="BO405" t="s">
        <v>1224</v>
      </c>
    </row>
    <row r="406" spans="67:67">
      <c r="BO406" t="s">
        <v>1225</v>
      </c>
    </row>
    <row r="407" spans="67:67">
      <c r="BO407" t="s">
        <v>1226</v>
      </c>
    </row>
    <row r="408" spans="67:67">
      <c r="BO408" t="s">
        <v>1227</v>
      </c>
    </row>
    <row r="409" spans="67:67">
      <c r="BO409" t="s">
        <v>1228</v>
      </c>
    </row>
    <row r="410" spans="67:67">
      <c r="BO410" t="s">
        <v>1229</v>
      </c>
    </row>
    <row r="411" spans="67:67">
      <c r="BO411" t="s">
        <v>1230</v>
      </c>
    </row>
    <row r="412" spans="67:67">
      <c r="BO412" t="s">
        <v>1231</v>
      </c>
    </row>
    <row r="413" spans="67:67">
      <c r="BO413" t="s">
        <v>1232</v>
      </c>
    </row>
    <row r="414" spans="67:67">
      <c r="BO414" t="s">
        <v>1233</v>
      </c>
    </row>
    <row r="415" spans="67:67">
      <c r="BO415" t="s">
        <v>1234</v>
      </c>
    </row>
    <row r="416" spans="67:67">
      <c r="BO416" t="s">
        <v>1235</v>
      </c>
    </row>
    <row r="417" spans="67:67">
      <c r="BO417" t="s">
        <v>1236</v>
      </c>
    </row>
    <row r="418" spans="67:67">
      <c r="BO418" t="s">
        <v>1237</v>
      </c>
    </row>
    <row r="419" spans="67:67">
      <c r="BO419" t="s">
        <v>1238</v>
      </c>
    </row>
    <row r="420" spans="67:67">
      <c r="BO420" t="s">
        <v>1239</v>
      </c>
    </row>
    <row r="421" spans="67:67">
      <c r="BO421" t="s">
        <v>1240</v>
      </c>
    </row>
    <row r="422" spans="67:67">
      <c r="BO422" t="s">
        <v>1241</v>
      </c>
    </row>
    <row r="423" spans="67:67">
      <c r="BO423" t="s">
        <v>1242</v>
      </c>
    </row>
    <row r="424" spans="67:67">
      <c r="BO424" t="s">
        <v>1243</v>
      </c>
    </row>
    <row r="425" spans="67:67">
      <c r="BO425" t="s">
        <v>1244</v>
      </c>
    </row>
    <row r="426" spans="67:67">
      <c r="BO426" t="s">
        <v>1245</v>
      </c>
    </row>
    <row r="427" spans="67:67">
      <c r="BO427" t="s">
        <v>1246</v>
      </c>
    </row>
    <row r="428" spans="67:67">
      <c r="BO428" t="s">
        <v>1247</v>
      </c>
    </row>
    <row r="429" spans="67:67">
      <c r="BO429" t="s">
        <v>1248</v>
      </c>
    </row>
    <row r="430" spans="67:67">
      <c r="BO430" t="s">
        <v>1249</v>
      </c>
    </row>
    <row r="431" spans="67:67">
      <c r="BO431" t="s">
        <v>1250</v>
      </c>
    </row>
    <row r="432" spans="67:67">
      <c r="BO432" t="s">
        <v>1251</v>
      </c>
    </row>
    <row r="433" spans="67:67">
      <c r="BO433" t="s">
        <v>1252</v>
      </c>
    </row>
    <row r="434" spans="67:67">
      <c r="BO434" t="s">
        <v>1253</v>
      </c>
    </row>
    <row r="435" spans="67:67">
      <c r="BO435" t="s">
        <v>1254</v>
      </c>
    </row>
    <row r="436" spans="67:67">
      <c r="BO436" t="s">
        <v>1255</v>
      </c>
    </row>
    <row r="437" spans="67:67">
      <c r="BO437" t="s">
        <v>1256</v>
      </c>
    </row>
    <row r="438" spans="67:67">
      <c r="BO438" t="s">
        <v>1257</v>
      </c>
    </row>
    <row r="439" spans="67:67">
      <c r="BO439" t="s">
        <v>1258</v>
      </c>
    </row>
    <row r="440" spans="67:67">
      <c r="BO440" t="s">
        <v>1259</v>
      </c>
    </row>
    <row r="441" spans="67:67">
      <c r="BO441" t="s">
        <v>1260</v>
      </c>
    </row>
    <row r="442" spans="67:67">
      <c r="BO442" t="s">
        <v>1261</v>
      </c>
    </row>
    <row r="443" spans="67:67">
      <c r="BO443" t="s">
        <v>1262</v>
      </c>
    </row>
    <row r="444" spans="67:67">
      <c r="BO444" t="s">
        <v>1263</v>
      </c>
    </row>
    <row r="445" spans="67:67">
      <c r="BO445" t="s">
        <v>1264</v>
      </c>
    </row>
    <row r="446" spans="67:67">
      <c r="BO446" t="s">
        <v>1265</v>
      </c>
    </row>
    <row r="447" spans="67:67">
      <c r="BO447" t="s">
        <v>1266</v>
      </c>
    </row>
    <row r="448" spans="67:67">
      <c r="BO448" t="s">
        <v>1267</v>
      </c>
    </row>
    <row r="449" spans="67:67">
      <c r="BO449" t="s">
        <v>1268</v>
      </c>
    </row>
    <row r="450" spans="67:67">
      <c r="BO450" t="s">
        <v>1269</v>
      </c>
    </row>
    <row r="451" spans="67:67">
      <c r="BO451" t="s">
        <v>1270</v>
      </c>
    </row>
    <row r="452" spans="67:67">
      <c r="BO452" t="s">
        <v>1271</v>
      </c>
    </row>
    <row r="453" spans="67:67">
      <c r="BO453" t="s">
        <v>1272</v>
      </c>
    </row>
    <row r="454" spans="67:67">
      <c r="BO454" t="s">
        <v>1273</v>
      </c>
    </row>
    <row r="455" spans="67:67">
      <c r="BO455" t="s">
        <v>1274</v>
      </c>
    </row>
    <row r="456" spans="67:67">
      <c r="BO456" t="s">
        <v>1275</v>
      </c>
    </row>
    <row r="457" spans="67:67">
      <c r="BO457" t="s">
        <v>1276</v>
      </c>
    </row>
    <row r="458" spans="67:67">
      <c r="BO458" t="s">
        <v>1277</v>
      </c>
    </row>
    <row r="459" spans="67:67">
      <c r="BO459" t="s">
        <v>1278</v>
      </c>
    </row>
    <row r="460" spans="67:67">
      <c r="BO460" t="s">
        <v>1279</v>
      </c>
    </row>
    <row r="461" spans="67:67">
      <c r="BO461" t="s">
        <v>1280</v>
      </c>
    </row>
    <row r="462" spans="67:67">
      <c r="BO462" t="s">
        <v>1281</v>
      </c>
    </row>
    <row r="463" spans="67:67">
      <c r="BO463" t="s">
        <v>1282</v>
      </c>
    </row>
    <row r="464" spans="67:67">
      <c r="BO464" t="s">
        <v>1283</v>
      </c>
    </row>
    <row r="465" spans="67:67">
      <c r="BO465" t="s">
        <v>1284</v>
      </c>
    </row>
    <row r="466" spans="67:67">
      <c r="BO466" t="s">
        <v>1285</v>
      </c>
    </row>
    <row r="467" spans="67:67">
      <c r="BO467" t="s">
        <v>1286</v>
      </c>
    </row>
    <row r="468" spans="67:67">
      <c r="BO468" t="s">
        <v>1287</v>
      </c>
    </row>
    <row r="469" spans="67:67">
      <c r="BO469" t="s">
        <v>1288</v>
      </c>
    </row>
    <row r="470" spans="67:67">
      <c r="BO470" t="s">
        <v>1289</v>
      </c>
    </row>
    <row r="471" spans="67:67">
      <c r="BO471" t="s">
        <v>1290</v>
      </c>
    </row>
    <row r="472" spans="67:67">
      <c r="BO472" t="s">
        <v>1291</v>
      </c>
    </row>
    <row r="473" spans="67:67">
      <c r="BO473" t="s">
        <v>1292</v>
      </c>
    </row>
    <row r="474" spans="67:67">
      <c r="BO474" t="s">
        <v>1293</v>
      </c>
    </row>
    <row r="475" spans="67:67">
      <c r="BO475" t="s">
        <v>1294</v>
      </c>
    </row>
    <row r="476" spans="67:67">
      <c r="BO476" t="s">
        <v>1295</v>
      </c>
    </row>
    <row r="477" spans="67:67">
      <c r="BO477" t="s">
        <v>1296</v>
      </c>
    </row>
    <row r="478" spans="67:67">
      <c r="BO478" t="s">
        <v>1297</v>
      </c>
    </row>
    <row r="479" spans="67:67">
      <c r="BO479" t="s">
        <v>1298</v>
      </c>
    </row>
    <row r="480" spans="67:67">
      <c r="BO480" t="s">
        <v>1299</v>
      </c>
    </row>
    <row r="481" spans="67:67">
      <c r="BO481" t="s">
        <v>1300</v>
      </c>
    </row>
    <row r="482" spans="67:67">
      <c r="BO482" t="s">
        <v>1301</v>
      </c>
    </row>
    <row r="483" spans="67:67">
      <c r="BO483" t="s">
        <v>1302</v>
      </c>
    </row>
    <row r="484" spans="67:67">
      <c r="BO484" t="s">
        <v>1303</v>
      </c>
    </row>
    <row r="485" spans="67:67">
      <c r="BO485" t="s">
        <v>1304</v>
      </c>
    </row>
    <row r="486" spans="67:67">
      <c r="BO486" t="s">
        <v>1305</v>
      </c>
    </row>
    <row r="487" spans="67:67">
      <c r="BO487" t="s">
        <v>1306</v>
      </c>
    </row>
    <row r="488" spans="67:67">
      <c r="BO488" t="s">
        <v>1307</v>
      </c>
    </row>
    <row r="489" spans="67:67">
      <c r="BO489" t="s">
        <v>1308</v>
      </c>
    </row>
    <row r="490" spans="67:67">
      <c r="BO490" t="s">
        <v>1309</v>
      </c>
    </row>
    <row r="491" spans="67:67">
      <c r="BO491" t="s">
        <v>1310</v>
      </c>
    </row>
    <row r="492" spans="67:67">
      <c r="BO492" t="s">
        <v>1311</v>
      </c>
    </row>
    <row r="493" spans="67:67">
      <c r="BO493" t="s">
        <v>1312</v>
      </c>
    </row>
    <row r="494" spans="67:67">
      <c r="BO494" t="s">
        <v>1313</v>
      </c>
    </row>
    <row r="495" spans="67:67">
      <c r="BO495" t="s">
        <v>1314</v>
      </c>
    </row>
    <row r="496" spans="67:67">
      <c r="BO496" t="s">
        <v>1315</v>
      </c>
    </row>
    <row r="497" spans="67:67">
      <c r="BO497" t="s">
        <v>1316</v>
      </c>
    </row>
    <row r="498" spans="67:67">
      <c r="BO498" t="s">
        <v>1317</v>
      </c>
    </row>
    <row r="499" spans="67:67">
      <c r="BO499" t="s">
        <v>1318</v>
      </c>
    </row>
    <row r="500" spans="67:67">
      <c r="BO500" t="s">
        <v>1319</v>
      </c>
    </row>
    <row r="501" spans="67:67">
      <c r="BO501" t="s">
        <v>1320</v>
      </c>
    </row>
    <row r="502" spans="67:67">
      <c r="BO502" t="s">
        <v>1321</v>
      </c>
    </row>
    <row r="503" spans="67:67">
      <c r="BO503" t="s">
        <v>1322</v>
      </c>
    </row>
    <row r="504" spans="67:67">
      <c r="BO504" t="s">
        <v>1323</v>
      </c>
    </row>
    <row r="505" spans="67:67">
      <c r="BO505" t="s">
        <v>1324</v>
      </c>
    </row>
    <row r="506" spans="67:67">
      <c r="BO506" t="s">
        <v>1325</v>
      </c>
    </row>
    <row r="507" spans="67:67">
      <c r="BO507" t="s">
        <v>1326</v>
      </c>
    </row>
    <row r="508" spans="67:67">
      <c r="BO508" t="s">
        <v>1327</v>
      </c>
    </row>
    <row r="509" spans="67:67">
      <c r="BO509" t="s">
        <v>1328</v>
      </c>
    </row>
    <row r="510" spans="67:67">
      <c r="BO510" t="s">
        <v>1329</v>
      </c>
    </row>
    <row r="511" spans="67:67">
      <c r="BO511" t="s">
        <v>1330</v>
      </c>
    </row>
    <row r="512" spans="67:67">
      <c r="BO512" t="s">
        <v>1331</v>
      </c>
    </row>
    <row r="513" spans="67:67">
      <c r="BO513" t="s">
        <v>1332</v>
      </c>
    </row>
    <row r="514" spans="67:67">
      <c r="BO514" t="s">
        <v>1333</v>
      </c>
    </row>
    <row r="515" spans="67:67">
      <c r="BO515" t="s">
        <v>1334</v>
      </c>
    </row>
    <row r="516" spans="67:67">
      <c r="BO516" t="s">
        <v>1335</v>
      </c>
    </row>
    <row r="517" spans="67:67">
      <c r="BO517" t="s">
        <v>1336</v>
      </c>
    </row>
    <row r="518" spans="67:67">
      <c r="BO518" t="s">
        <v>1337</v>
      </c>
    </row>
    <row r="519" spans="67:67">
      <c r="BO519" t="s">
        <v>1338</v>
      </c>
    </row>
    <row r="520" spans="67:67">
      <c r="BO520" t="s">
        <v>1339</v>
      </c>
    </row>
    <row r="521" spans="67:67">
      <c r="BO521" t="s">
        <v>1340</v>
      </c>
    </row>
    <row r="522" spans="67:67">
      <c r="BO522" t="s">
        <v>1341</v>
      </c>
    </row>
    <row r="523" spans="67:67">
      <c r="BO523" t="s">
        <v>1342</v>
      </c>
    </row>
    <row r="524" spans="67:67">
      <c r="BO524" t="s">
        <v>1343</v>
      </c>
    </row>
    <row r="525" spans="67:67">
      <c r="BO525" t="s">
        <v>1344</v>
      </c>
    </row>
    <row r="526" spans="67:67">
      <c r="BO526" t="s">
        <v>1345</v>
      </c>
    </row>
    <row r="527" spans="67:67">
      <c r="BO527" t="s">
        <v>1346</v>
      </c>
    </row>
    <row r="528" spans="67:67">
      <c r="BO528" t="s">
        <v>1347</v>
      </c>
    </row>
    <row r="529" spans="67:67">
      <c r="BO529" t="s">
        <v>1348</v>
      </c>
    </row>
    <row r="530" spans="67:67">
      <c r="BO530" t="s">
        <v>1349</v>
      </c>
    </row>
    <row r="531" spans="67:67">
      <c r="BO531" t="s">
        <v>1350</v>
      </c>
    </row>
    <row r="532" spans="67:67">
      <c r="BO532" t="s">
        <v>1351</v>
      </c>
    </row>
    <row r="533" spans="67:67">
      <c r="BO533" t="s">
        <v>1352</v>
      </c>
    </row>
    <row r="534" spans="67:67">
      <c r="BO534" t="s">
        <v>1353</v>
      </c>
    </row>
    <row r="535" spans="67:67">
      <c r="BO535" t="s">
        <v>1354</v>
      </c>
    </row>
    <row r="536" spans="67:67">
      <c r="BO536" t="s">
        <v>1355</v>
      </c>
    </row>
    <row r="537" spans="67:67">
      <c r="BO537" t="s">
        <v>1356</v>
      </c>
    </row>
    <row r="538" spans="67:67">
      <c r="BO538" t="s">
        <v>1357</v>
      </c>
    </row>
    <row r="539" spans="67:67">
      <c r="BO539" t="s">
        <v>1358</v>
      </c>
    </row>
    <row r="540" spans="67:67">
      <c r="BO540" t="s">
        <v>1359</v>
      </c>
    </row>
    <row r="541" spans="67:67">
      <c r="BO541" t="s">
        <v>1360</v>
      </c>
    </row>
    <row r="542" spans="67:67">
      <c r="BO542" t="s">
        <v>1361</v>
      </c>
    </row>
    <row r="543" spans="67:67">
      <c r="BO543" t="s">
        <v>1362</v>
      </c>
    </row>
    <row r="544" spans="67:67">
      <c r="BO544" t="s">
        <v>1363</v>
      </c>
    </row>
    <row r="545" spans="67:67">
      <c r="BO545" t="s">
        <v>1364</v>
      </c>
    </row>
    <row r="546" spans="67:67">
      <c r="BO546" t="s">
        <v>1365</v>
      </c>
    </row>
    <row r="547" spans="67:67">
      <c r="BO547" t="s">
        <v>1366</v>
      </c>
    </row>
    <row r="548" spans="67:67">
      <c r="BO548" t="s">
        <v>1367</v>
      </c>
    </row>
    <row r="549" spans="67:67">
      <c r="BO549" t="s">
        <v>1368</v>
      </c>
    </row>
    <row r="550" spans="67:67">
      <c r="BO550" t="s">
        <v>1369</v>
      </c>
    </row>
    <row r="551" spans="67:67">
      <c r="BO551" t="s">
        <v>1370</v>
      </c>
    </row>
    <row r="552" spans="67:67">
      <c r="BO552" t="s">
        <v>1371</v>
      </c>
    </row>
    <row r="553" spans="67:67">
      <c r="BO553" t="s">
        <v>1372</v>
      </c>
    </row>
    <row r="554" spans="67:67">
      <c r="BO554" t="s">
        <v>1373</v>
      </c>
    </row>
    <row r="555" spans="67:67">
      <c r="BO555" t="s">
        <v>1374</v>
      </c>
    </row>
    <row r="556" spans="67:67">
      <c r="BO556" t="s">
        <v>1375</v>
      </c>
    </row>
    <row r="557" spans="67:67">
      <c r="BO557" t="s">
        <v>1376</v>
      </c>
    </row>
    <row r="558" spans="67:67">
      <c r="BO558" t="s">
        <v>1377</v>
      </c>
    </row>
    <row r="559" spans="67:67">
      <c r="BO559" t="s">
        <v>1378</v>
      </c>
    </row>
    <row r="560" spans="67:67">
      <c r="BO560" t="s">
        <v>1379</v>
      </c>
    </row>
    <row r="561" spans="67:67">
      <c r="BO561" t="s">
        <v>1380</v>
      </c>
    </row>
    <row r="562" spans="67:67">
      <c r="BO562" t="s">
        <v>1381</v>
      </c>
    </row>
    <row r="563" spans="67:67">
      <c r="BO563" t="s">
        <v>1382</v>
      </c>
    </row>
    <row r="564" spans="67:67">
      <c r="BO564" t="s">
        <v>1383</v>
      </c>
    </row>
    <row r="565" spans="67:67">
      <c r="BO565" t="s">
        <v>1384</v>
      </c>
    </row>
    <row r="566" spans="67:67">
      <c r="BO566" t="s">
        <v>1385</v>
      </c>
    </row>
    <row r="567" spans="67:67">
      <c r="BO567" t="s">
        <v>1386</v>
      </c>
    </row>
    <row r="568" spans="67:67">
      <c r="BO568" t="s">
        <v>1387</v>
      </c>
    </row>
    <row r="569" spans="67:67">
      <c r="BO569" t="s">
        <v>1388</v>
      </c>
    </row>
    <row r="570" spans="67:67">
      <c r="BO570" t="s">
        <v>1389</v>
      </c>
    </row>
    <row r="571" spans="67:67">
      <c r="BO571" t="s">
        <v>1390</v>
      </c>
    </row>
    <row r="572" spans="67:67">
      <c r="BO572" t="s">
        <v>1391</v>
      </c>
    </row>
    <row r="573" spans="67:67">
      <c r="BO573" t="s">
        <v>1392</v>
      </c>
    </row>
    <row r="574" spans="67:67">
      <c r="BO574" t="s">
        <v>1393</v>
      </c>
    </row>
    <row r="575" spans="67:67">
      <c r="BO575" t="s">
        <v>1394</v>
      </c>
    </row>
    <row r="576" spans="67:67">
      <c r="BO576" t="s">
        <v>1395</v>
      </c>
    </row>
    <row r="577" spans="67:67">
      <c r="BO577" t="s">
        <v>1396</v>
      </c>
    </row>
    <row r="578" spans="67:67">
      <c r="BO578" t="s">
        <v>1397</v>
      </c>
    </row>
    <row r="579" spans="67:67">
      <c r="BO579" t="s">
        <v>1398</v>
      </c>
    </row>
    <row r="580" spans="67:67">
      <c r="BO580" t="s">
        <v>1399</v>
      </c>
    </row>
    <row r="581" spans="67:67">
      <c r="BO581" t="s">
        <v>1400</v>
      </c>
    </row>
    <row r="582" spans="67:67">
      <c r="BO582" t="s">
        <v>1401</v>
      </c>
    </row>
    <row r="583" spans="67:67">
      <c r="BO583" t="s">
        <v>1402</v>
      </c>
    </row>
    <row r="584" spans="67:67">
      <c r="BO584" t="s">
        <v>1403</v>
      </c>
    </row>
    <row r="585" spans="67:67">
      <c r="BO585" t="s">
        <v>1404</v>
      </c>
    </row>
    <row r="586" spans="67:67">
      <c r="BO586" t="s">
        <v>1405</v>
      </c>
    </row>
    <row r="587" spans="67:67">
      <c r="BO587" t="s">
        <v>1406</v>
      </c>
    </row>
    <row r="588" spans="67:67">
      <c r="BO588" t="s">
        <v>1407</v>
      </c>
    </row>
    <row r="589" spans="67:67">
      <c r="BO589" t="s">
        <v>1408</v>
      </c>
    </row>
    <row r="590" spans="67:67">
      <c r="BO590" t="s">
        <v>1409</v>
      </c>
    </row>
    <row r="591" spans="67:67">
      <c r="BO591" t="s">
        <v>1410</v>
      </c>
    </row>
    <row r="592" spans="67:67">
      <c r="BO592" t="s">
        <v>1411</v>
      </c>
    </row>
    <row r="593" spans="67:67">
      <c r="BO593" t="s">
        <v>1412</v>
      </c>
    </row>
    <row r="594" spans="67:67">
      <c r="BO594" t="s">
        <v>1413</v>
      </c>
    </row>
    <row r="595" spans="67:67">
      <c r="BO595" t="s">
        <v>1414</v>
      </c>
    </row>
    <row r="596" spans="67:67">
      <c r="BO596" t="s">
        <v>1415</v>
      </c>
    </row>
    <row r="597" spans="67:67">
      <c r="BO597" t="s">
        <v>1416</v>
      </c>
    </row>
    <row r="598" spans="67:67">
      <c r="BO598" t="s">
        <v>1417</v>
      </c>
    </row>
    <row r="599" spans="67:67">
      <c r="BO599" t="s">
        <v>1418</v>
      </c>
    </row>
    <row r="600" spans="67:67">
      <c r="BO600" t="s">
        <v>1419</v>
      </c>
    </row>
    <row r="601" spans="67:67">
      <c r="BO601" t="s">
        <v>1420</v>
      </c>
    </row>
    <row r="602" spans="67:67">
      <c r="BO602" t="s">
        <v>1421</v>
      </c>
    </row>
    <row r="603" spans="67:67">
      <c r="BO603" t="s">
        <v>1422</v>
      </c>
    </row>
    <row r="604" spans="67:67">
      <c r="BO604" t="s">
        <v>1423</v>
      </c>
    </row>
    <row r="605" spans="67:67">
      <c r="BO605" t="s">
        <v>1424</v>
      </c>
    </row>
    <row r="606" spans="67:67">
      <c r="BO606" t="s">
        <v>1425</v>
      </c>
    </row>
    <row r="607" spans="67:67">
      <c r="BO607" t="s">
        <v>1426</v>
      </c>
    </row>
    <row r="608" spans="67:67">
      <c r="BO608" t="s">
        <v>1427</v>
      </c>
    </row>
    <row r="609" spans="67:67">
      <c r="BO609" t="s">
        <v>1428</v>
      </c>
    </row>
    <row r="610" spans="67:67">
      <c r="BO610" t="s">
        <v>1429</v>
      </c>
    </row>
    <row r="611" spans="67:67">
      <c r="BO611" t="s">
        <v>1430</v>
      </c>
    </row>
    <row r="612" spans="67:67">
      <c r="BO612" t="s">
        <v>1431</v>
      </c>
    </row>
    <row r="613" spans="67:67">
      <c r="BO613" t="s">
        <v>1432</v>
      </c>
    </row>
    <row r="614" spans="67:67">
      <c r="BO614" t="s">
        <v>1433</v>
      </c>
    </row>
    <row r="615" spans="67:67">
      <c r="BO615" t="s">
        <v>1434</v>
      </c>
    </row>
    <row r="616" spans="67:67">
      <c r="BO616" t="s">
        <v>1435</v>
      </c>
    </row>
    <row r="617" spans="67:67">
      <c r="BO617" t="s">
        <v>1436</v>
      </c>
    </row>
    <row r="618" spans="67:67">
      <c r="BO618" t="s">
        <v>1437</v>
      </c>
    </row>
    <row r="619" spans="67:67">
      <c r="BO619" t="s">
        <v>1438</v>
      </c>
    </row>
    <row r="620" spans="67:67">
      <c r="BO620" t="s">
        <v>1439</v>
      </c>
    </row>
    <row r="621" spans="67:67">
      <c r="BO621" t="s">
        <v>1440</v>
      </c>
    </row>
    <row r="622" spans="67:67">
      <c r="BO622" t="s">
        <v>1441</v>
      </c>
    </row>
    <row r="623" spans="67:67">
      <c r="BO623" t="s">
        <v>1442</v>
      </c>
    </row>
    <row r="624" spans="67:67">
      <c r="BO624" t="s">
        <v>1443</v>
      </c>
    </row>
    <row r="625" spans="67:67">
      <c r="BO625" t="s">
        <v>1444</v>
      </c>
    </row>
    <row r="626" spans="67:67">
      <c r="BO626" t="s">
        <v>1445</v>
      </c>
    </row>
    <row r="627" spans="67:67">
      <c r="BO627" t="s">
        <v>1446</v>
      </c>
    </row>
  </sheetData>
  <sheetProtection password="BEDF" sheet="1" objects="1" scenarios="1"/>
  <phoneticPr fontId="154" type="noConversion"/>
  <pageMargins left="0.7" right="0.7" top="0.75" bottom="0.75" header="0.3" footer="0.3"/>
  <tableParts count="3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6"/>
  <sheetViews>
    <sheetView tabSelected="1" workbookViewId="0">
      <pane xSplit="5" ySplit="6" topLeftCell="F7" activePane="bottomRight" state="frozen"/>
      <selection pane="topRight"/>
      <selection pane="bottomLeft"/>
      <selection pane="bottomRight"/>
    </sheetView>
  </sheetViews>
  <sheetFormatPr defaultColWidth="31" defaultRowHeight="15.75"/>
  <cols>
    <col min="1" max="3" width="30" hidden="1"/>
    <col min="4" max="4" width="20" style="47" customWidth="1"/>
    <col min="5" max="6" width="25" style="47" customWidth="1"/>
    <col min="7" max="9" width="20" style="47" customWidth="1"/>
    <col min="10" max="10" width="20" style="116" customWidth="1"/>
    <col min="11" max="11" width="31" style="117" customWidth="1"/>
    <col min="12" max="12" width="56" style="47" customWidth="1"/>
    <col min="13" max="13" width="19" style="47" customWidth="1"/>
    <col min="14" max="14" width="31" style="47" customWidth="1"/>
    <col min="15" max="15" width="20" style="47" customWidth="1"/>
    <col min="16" max="16" width="30" style="47"/>
    <col min="17" max="20" width="20" style="47" customWidth="1"/>
    <col min="21" max="21" width="30" style="47"/>
    <col min="22" max="23" width="20" style="47" customWidth="1"/>
    <col min="24" max="24" width="37" style="47" customWidth="1"/>
    <col min="25" max="25" width="20" style="47" customWidth="1"/>
    <col min="26" max="26" width="30" style="47" customWidth="1"/>
    <col min="27" max="27" width="14" style="47" customWidth="1"/>
    <col min="28" max="28" width="34" style="130" customWidth="1"/>
    <col min="29" max="29" width="33" style="47" customWidth="1"/>
    <col min="30" max="31" width="30" style="47"/>
    <col min="32" max="32" width="34" style="135" customWidth="1"/>
    <col min="33" max="33" width="14" style="47" customWidth="1"/>
    <col min="34" max="34" width="34" style="136" customWidth="1"/>
    <col min="35" max="35" width="14" style="47" customWidth="1"/>
    <col min="36" max="36" width="34" style="137" customWidth="1"/>
    <col min="37" max="37" width="14" style="47" customWidth="1"/>
    <col min="38" max="38" width="34" style="138" customWidth="1"/>
    <col min="39" max="39" width="14" style="47" customWidth="1"/>
    <col min="40" max="40" width="41" style="47" customWidth="1"/>
    <col min="41" max="41" width="28" style="47" customWidth="1"/>
    <col min="42" max="43" width="20" style="47" customWidth="1"/>
    <col min="44" max="45" width="60" style="47" customWidth="1"/>
    <col min="46" max="46" width="28" style="47" customWidth="1"/>
    <col min="47" max="47" width="65" style="47" customWidth="1"/>
    <col min="48" max="48" width="20" style="47" customWidth="1"/>
    <col min="49" max="49" width="34" style="47" customWidth="1"/>
    <col min="50" max="50" width="20" style="47" customWidth="1"/>
    <col min="51" max="51" width="31" style="47" customWidth="1"/>
    <col min="52" max="60" width="20" style="47" customWidth="1"/>
    <col min="61" max="61" width="70" style="47" customWidth="1"/>
    <col min="62" max="63" width="20" style="47" customWidth="1"/>
    <col min="64" max="64" width="30" style="47"/>
    <col min="65" max="65" width="20" style="47" customWidth="1"/>
    <col min="66" max="66" width="37" style="47" customWidth="1"/>
    <col min="67" max="67" width="28" style="47" customWidth="1"/>
    <col min="68" max="68" width="34" style="47" customWidth="1"/>
    <col min="69" max="69" width="30" style="47"/>
    <col min="70" max="70" width="20" style="47" customWidth="1"/>
    <col min="71" max="71" width="16" style="47" customWidth="1"/>
    <col min="72" max="72" width="35" style="47" customWidth="1"/>
    <col min="73" max="73" width="57" style="47" customWidth="1"/>
    <col min="74" max="74" width="66" style="47" customWidth="1"/>
    <col min="75" max="75" width="50" style="47" customWidth="1"/>
    <col min="76" max="76" width="30" style="47" customWidth="1"/>
    <col min="77" max="77" width="37" style="47" customWidth="1"/>
    <col min="78" max="78" width="26" style="47" customWidth="1"/>
    <col min="79" max="79" width="21" style="47" customWidth="1"/>
    <col min="80" max="80" width="30" style="47"/>
    <col min="81" max="81" width="30" style="51"/>
    <col min="82" max="82" width="30" style="47"/>
    <col min="83" max="83" width="34" style="47" customWidth="1"/>
    <col min="84" max="84" width="20" style="47" customWidth="1"/>
    <col min="85" max="85" width="27" style="47" customWidth="1"/>
    <col min="86" max="86" width="20" style="47" customWidth="1"/>
    <col min="87" max="87" width="20" style="147" customWidth="1"/>
    <col min="88" max="88" width="38" style="148" customWidth="1"/>
    <col min="89" max="89" width="38" style="149" customWidth="1"/>
    <col min="90" max="90" width="20" style="47" customWidth="1"/>
    <col min="91" max="91" width="38" style="150" customWidth="1"/>
    <col min="92" max="92" width="47" style="151" customWidth="1"/>
    <col min="93" max="93" width="47" style="152" customWidth="1"/>
    <col min="94" max="94" width="48" style="153" customWidth="1"/>
  </cols>
  <sheetData>
    <row r="1" spans="1:94" hidden="1">
      <c r="A1" t="s">
        <v>1565</v>
      </c>
      <c r="CC1" s="51">
        <f t="array" ref="CC1">SUM(LEN(D7:D9))</f>
        <v>0</v>
      </c>
    </row>
    <row r="2" spans="1:94" ht="50.1" customHeight="1">
      <c r="D2" s="271" t="s">
        <v>20</v>
      </c>
      <c r="E2" s="271" t="s">
        <v>21</v>
      </c>
      <c r="F2" s="274" t="s">
        <v>4</v>
      </c>
      <c r="G2" s="275"/>
      <c r="H2" s="275"/>
      <c r="I2" s="275"/>
      <c r="J2" s="276"/>
      <c r="K2" s="277"/>
      <c r="L2" s="275"/>
      <c r="M2" s="118" t="s">
        <v>1572</v>
      </c>
      <c r="N2" s="280" t="s">
        <v>7</v>
      </c>
      <c r="O2" s="275"/>
      <c r="P2" s="275"/>
      <c r="Q2" s="282" t="s">
        <v>10</v>
      </c>
      <c r="R2" s="275"/>
      <c r="S2" s="275"/>
      <c r="T2" s="275"/>
      <c r="U2" s="275"/>
      <c r="V2" s="275"/>
      <c r="W2" s="275"/>
      <c r="X2" s="275"/>
      <c r="Y2" s="275"/>
      <c r="Z2" s="275"/>
      <c r="AA2" s="275"/>
      <c r="AB2" s="283"/>
      <c r="AC2" s="285" t="s">
        <v>14</v>
      </c>
      <c r="AD2" s="275"/>
      <c r="AE2" s="275"/>
      <c r="AF2" s="286"/>
      <c r="AG2" s="275"/>
      <c r="AH2" s="287"/>
      <c r="AI2" s="275"/>
      <c r="AJ2" s="288"/>
      <c r="AK2" s="275"/>
      <c r="AL2" s="289"/>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91" t="s">
        <v>16</v>
      </c>
      <c r="BN2" s="275"/>
      <c r="BO2" s="275"/>
      <c r="BP2" s="275"/>
      <c r="BQ2" s="275"/>
      <c r="BR2" s="294" t="s">
        <v>8</v>
      </c>
      <c r="BS2" s="275"/>
      <c r="BT2" s="275"/>
      <c r="BU2" s="275"/>
      <c r="BV2" s="275"/>
      <c r="BW2" s="275"/>
      <c r="BX2" s="275"/>
      <c r="BY2" s="275"/>
      <c r="BZ2" s="275"/>
      <c r="CA2" s="275"/>
      <c r="CB2" s="275"/>
      <c r="CC2" s="295"/>
      <c r="CD2" s="275"/>
      <c r="CE2" s="275"/>
      <c r="CF2" s="275"/>
      <c r="CG2" s="275"/>
      <c r="CH2" s="275"/>
      <c r="CI2" s="296"/>
      <c r="CJ2" s="297"/>
      <c r="CK2" s="298"/>
      <c r="CL2" s="275"/>
      <c r="CM2" s="299"/>
      <c r="CN2" s="300"/>
      <c r="CO2" s="301"/>
      <c r="CP2" s="302"/>
    </row>
    <row r="3" spans="1:94">
      <c r="D3" s="272"/>
      <c r="E3" s="272"/>
      <c r="F3" s="273" t="s">
        <v>22</v>
      </c>
      <c r="G3" s="273"/>
      <c r="H3" s="112"/>
      <c r="I3" s="112"/>
      <c r="J3" s="112"/>
      <c r="K3" s="112"/>
      <c r="L3" s="112"/>
      <c r="M3" s="119"/>
      <c r="N3" s="278" t="s">
        <v>23</v>
      </c>
      <c r="O3" s="279"/>
      <c r="P3" s="278"/>
      <c r="Q3" s="126"/>
      <c r="R3" s="126"/>
      <c r="S3" s="126"/>
      <c r="T3" s="126"/>
      <c r="U3" s="126"/>
      <c r="V3" s="126"/>
      <c r="W3" s="126"/>
      <c r="X3" s="126"/>
      <c r="Y3" s="126"/>
      <c r="Z3" s="126"/>
      <c r="AA3" s="281" t="s">
        <v>24</v>
      </c>
      <c r="AB3" s="281"/>
      <c r="AC3" s="131"/>
      <c r="AD3" s="131"/>
      <c r="AE3" s="131"/>
      <c r="AF3" s="284" t="s">
        <v>25</v>
      </c>
      <c r="AG3" s="284"/>
      <c r="AH3" s="284" t="s">
        <v>26</v>
      </c>
      <c r="AI3" s="284"/>
      <c r="AJ3" s="284" t="s">
        <v>27</v>
      </c>
      <c r="AK3" s="284"/>
      <c r="AL3" s="284" t="s">
        <v>28</v>
      </c>
      <c r="AM3" s="284"/>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9"/>
      <c r="BN3" s="139"/>
      <c r="BO3" s="139"/>
      <c r="BP3" s="290" t="s">
        <v>29</v>
      </c>
      <c r="BQ3" s="290"/>
      <c r="BR3" s="292" t="s">
        <v>30</v>
      </c>
      <c r="BS3" s="293"/>
      <c r="BT3" s="292"/>
      <c r="BU3" s="143"/>
      <c r="BV3" s="143"/>
      <c r="BW3" s="143"/>
      <c r="BX3" s="143"/>
      <c r="BY3" s="143"/>
      <c r="BZ3" s="143"/>
      <c r="CA3" s="143">
        <f>COUNTA(D7:D500)</f>
        <v>0</v>
      </c>
      <c r="CB3" s="143" t="str">
        <f>'Data Definitions'!A1</f>
        <v>Attribute Name</v>
      </c>
      <c r="CC3" s="143" t="str">
        <f>D7&amp;"-suffix"</f>
        <v>-suffix</v>
      </c>
      <c r="CD3" s="143"/>
      <c r="CE3" s="292" t="s">
        <v>31</v>
      </c>
      <c r="CF3" s="292"/>
      <c r="CG3" s="143"/>
      <c r="CH3" s="143"/>
      <c r="CI3" s="143"/>
      <c r="CJ3" s="292" t="s">
        <v>183</v>
      </c>
      <c r="CK3" s="293"/>
      <c r="CL3" s="292"/>
      <c r="CM3" s="292" t="s">
        <v>1603</v>
      </c>
      <c r="CN3" s="293"/>
      <c r="CO3" s="293"/>
      <c r="CP3" s="292"/>
    </row>
    <row r="4" spans="1:94">
      <c r="D4" s="271" t="s">
        <v>20</v>
      </c>
      <c r="E4" s="271" t="s">
        <v>21</v>
      </c>
      <c r="F4" s="113" t="s">
        <v>32</v>
      </c>
      <c r="G4" s="113" t="s">
        <v>33</v>
      </c>
      <c r="H4" s="113" t="s">
        <v>34</v>
      </c>
      <c r="I4" s="113" t="s">
        <v>35</v>
      </c>
      <c r="J4" s="113" t="s">
        <v>36</v>
      </c>
      <c r="K4" s="113" t="s">
        <v>37</v>
      </c>
      <c r="L4" s="113" t="s">
        <v>184</v>
      </c>
      <c r="M4" s="120" t="s">
        <v>47</v>
      </c>
      <c r="N4" s="123" t="s">
        <v>38</v>
      </c>
      <c r="O4" s="123" t="s">
        <v>39</v>
      </c>
      <c r="P4" s="123" t="s">
        <v>40</v>
      </c>
      <c r="Q4" s="127" t="s">
        <v>41</v>
      </c>
      <c r="R4" s="127" t="s">
        <v>42</v>
      </c>
      <c r="S4" s="127" t="s">
        <v>43</v>
      </c>
      <c r="T4" s="127" t="s">
        <v>44</v>
      </c>
      <c r="U4" s="127" t="s">
        <v>45</v>
      </c>
      <c r="V4" s="127" t="s">
        <v>58</v>
      </c>
      <c r="W4" s="127" t="s">
        <v>62</v>
      </c>
      <c r="X4" s="127" t="s">
        <v>46</v>
      </c>
      <c r="Y4" s="127" t="s">
        <v>56</v>
      </c>
      <c r="Z4" s="127" t="s">
        <v>49</v>
      </c>
      <c r="AA4" s="127" t="s">
        <v>50</v>
      </c>
      <c r="AB4" s="127" t="s">
        <v>51</v>
      </c>
      <c r="AC4" s="132" t="s">
        <v>1580</v>
      </c>
      <c r="AD4" s="132" t="s">
        <v>52</v>
      </c>
      <c r="AE4" s="132" t="s">
        <v>1582</v>
      </c>
      <c r="AF4" s="132" t="s">
        <v>51</v>
      </c>
      <c r="AG4" s="132" t="s">
        <v>50</v>
      </c>
      <c r="AH4" s="132" t="s">
        <v>51</v>
      </c>
      <c r="AI4" s="132" t="s">
        <v>50</v>
      </c>
      <c r="AJ4" s="132" t="s">
        <v>51</v>
      </c>
      <c r="AK4" s="132" t="s">
        <v>50</v>
      </c>
      <c r="AL4" s="132" t="s">
        <v>51</v>
      </c>
      <c r="AM4" s="132" t="s">
        <v>50</v>
      </c>
      <c r="AN4" s="132" t="s">
        <v>55</v>
      </c>
      <c r="AO4" s="132" t="s">
        <v>1539</v>
      </c>
      <c r="AP4" s="132" t="s">
        <v>197</v>
      </c>
      <c r="AQ4" s="132" t="s">
        <v>198</v>
      </c>
      <c r="AR4" s="132" t="s">
        <v>199</v>
      </c>
      <c r="AS4" s="132" t="s">
        <v>200</v>
      </c>
      <c r="AT4" s="132" t="s">
        <v>57</v>
      </c>
      <c r="AU4" s="132" t="s">
        <v>834</v>
      </c>
      <c r="AV4" s="132" t="s">
        <v>59</v>
      </c>
      <c r="AW4" s="132" t="s">
        <v>60</v>
      </c>
      <c r="AX4" s="132" t="s">
        <v>61</v>
      </c>
      <c r="AY4" s="132" t="s">
        <v>63</v>
      </c>
      <c r="AZ4" s="132" t="s">
        <v>64</v>
      </c>
      <c r="BA4" s="132" t="s">
        <v>1588</v>
      </c>
      <c r="BB4" s="132" t="s">
        <v>214</v>
      </c>
      <c r="BC4" s="132" t="s">
        <v>65</v>
      </c>
      <c r="BD4" s="132" t="s">
        <v>830</v>
      </c>
      <c r="BE4" s="132" t="s">
        <v>1459</v>
      </c>
      <c r="BF4" s="132" t="s">
        <v>67</v>
      </c>
      <c r="BG4" s="132" t="s">
        <v>68</v>
      </c>
      <c r="BH4" s="132" t="s">
        <v>224</v>
      </c>
      <c r="BI4" s="132" t="s">
        <v>69</v>
      </c>
      <c r="BJ4" s="132" t="s">
        <v>70</v>
      </c>
      <c r="BK4" s="132" t="s">
        <v>71</v>
      </c>
      <c r="BL4" s="132" t="s">
        <v>72</v>
      </c>
      <c r="BM4" s="140" t="s">
        <v>73</v>
      </c>
      <c r="BN4" s="140" t="s">
        <v>74</v>
      </c>
      <c r="BO4" s="140" t="s">
        <v>75</v>
      </c>
      <c r="BP4" s="140" t="s">
        <v>76</v>
      </c>
      <c r="BQ4" s="140" t="s">
        <v>77</v>
      </c>
      <c r="BR4" s="144" t="s">
        <v>78</v>
      </c>
      <c r="BS4" s="144" t="s">
        <v>79</v>
      </c>
      <c r="BT4" s="144" t="s">
        <v>80</v>
      </c>
      <c r="BU4" s="144" t="s">
        <v>81</v>
      </c>
      <c r="BV4" s="144" t="s">
        <v>82</v>
      </c>
      <c r="BW4" s="144" t="s">
        <v>83</v>
      </c>
      <c r="BX4" s="144" t="s">
        <v>84</v>
      </c>
      <c r="BY4" s="144" t="s">
        <v>85</v>
      </c>
      <c r="BZ4" s="144" t="s">
        <v>86</v>
      </c>
      <c r="CA4" s="144" t="s">
        <v>87</v>
      </c>
      <c r="CB4" s="144" t="s">
        <v>88</v>
      </c>
      <c r="CC4" s="144" t="s">
        <v>89</v>
      </c>
      <c r="CD4" s="144" t="s">
        <v>90</v>
      </c>
      <c r="CE4" s="144" t="s">
        <v>91</v>
      </c>
      <c r="CF4" s="144" t="s">
        <v>92</v>
      </c>
      <c r="CG4" s="144" t="s">
        <v>93</v>
      </c>
      <c r="CH4" s="144" t="s">
        <v>94</v>
      </c>
      <c r="CI4" s="144" t="s">
        <v>95</v>
      </c>
      <c r="CJ4" s="144" t="s">
        <v>225</v>
      </c>
      <c r="CK4" s="144" t="s">
        <v>226</v>
      </c>
      <c r="CL4" s="144" t="s">
        <v>227</v>
      </c>
      <c r="CM4" s="144" t="s">
        <v>756</v>
      </c>
      <c r="CN4" s="144" t="s">
        <v>666</v>
      </c>
      <c r="CO4" s="144" t="s">
        <v>625</v>
      </c>
      <c r="CP4" s="144" t="s">
        <v>751</v>
      </c>
    </row>
    <row r="5" spans="1:94" hidden="1">
      <c r="D5" s="111" t="s">
        <v>730</v>
      </c>
      <c r="E5" s="111" t="s">
        <v>742</v>
      </c>
      <c r="F5" s="115" t="s">
        <v>646</v>
      </c>
      <c r="G5" s="115" t="s">
        <v>652</v>
      </c>
      <c r="H5" s="115" t="s">
        <v>776</v>
      </c>
      <c r="I5" s="115" t="s">
        <v>816</v>
      </c>
      <c r="J5" s="115" t="s">
        <v>656</v>
      </c>
      <c r="K5" s="115" t="s">
        <v>758</v>
      </c>
      <c r="L5" s="115" t="s">
        <v>354</v>
      </c>
      <c r="M5" s="122" t="s">
        <v>1450</v>
      </c>
      <c r="N5" s="125" t="s">
        <v>748</v>
      </c>
      <c r="O5" s="125" t="s">
        <v>734</v>
      </c>
      <c r="P5" s="125" t="s">
        <v>740</v>
      </c>
      <c r="Q5" s="129" t="s">
        <v>838</v>
      </c>
      <c r="R5" s="129" t="s">
        <v>1482</v>
      </c>
      <c r="S5" s="129" t="s">
        <v>1482</v>
      </c>
      <c r="T5" s="129" t="s">
        <v>1482</v>
      </c>
      <c r="U5" s="129" t="s">
        <v>818</v>
      </c>
      <c r="V5" s="129" t="s">
        <v>803</v>
      </c>
      <c r="W5" s="129" t="s">
        <v>791</v>
      </c>
      <c r="X5" s="129" t="s">
        <v>793</v>
      </c>
      <c r="Y5" s="129" t="s">
        <v>801</v>
      </c>
      <c r="Z5" s="129" t="s">
        <v>1511</v>
      </c>
      <c r="AA5" s="129" t="s">
        <v>1515</v>
      </c>
      <c r="AB5" s="129" t="s">
        <v>795</v>
      </c>
      <c r="AC5" s="134" t="s">
        <v>782</v>
      </c>
      <c r="AD5" s="134" t="s">
        <v>1509</v>
      </c>
      <c r="AE5" s="134" t="s">
        <v>1509</v>
      </c>
      <c r="AF5" s="134" t="s">
        <v>814</v>
      </c>
      <c r="AG5" s="134" t="s">
        <v>771</v>
      </c>
      <c r="AH5" s="134" t="s">
        <v>814</v>
      </c>
      <c r="AI5" s="134" t="s">
        <v>771</v>
      </c>
      <c r="AJ5" s="134" t="s">
        <v>814</v>
      </c>
      <c r="AK5" s="134" t="s">
        <v>771</v>
      </c>
      <c r="AL5" s="134" t="s">
        <v>814</v>
      </c>
      <c r="AM5" s="134" t="s">
        <v>771</v>
      </c>
      <c r="AN5" s="134" t="s">
        <v>1467</v>
      </c>
      <c r="AO5" s="134" t="s">
        <v>1540</v>
      </c>
      <c r="AP5" s="134" t="s">
        <v>788</v>
      </c>
      <c r="AQ5" s="134" t="s">
        <v>1478</v>
      </c>
      <c r="AR5" s="134" t="s">
        <v>825</v>
      </c>
      <c r="AS5" s="134" t="s">
        <v>1553</v>
      </c>
      <c r="AT5" s="134" t="s">
        <v>1489</v>
      </c>
      <c r="AU5" s="134" t="s">
        <v>835</v>
      </c>
      <c r="AV5" s="134" t="s">
        <v>1484</v>
      </c>
      <c r="AW5" s="134" t="s">
        <v>1448</v>
      </c>
      <c r="AX5" s="134" t="s">
        <v>1559</v>
      </c>
      <c r="AY5" s="134" t="s">
        <v>1463</v>
      </c>
      <c r="AZ5" s="134" t="s">
        <v>785</v>
      </c>
      <c r="BA5" s="134" t="s">
        <v>1470</v>
      </c>
      <c r="BB5" s="134" t="s">
        <v>804</v>
      </c>
      <c r="BC5" s="134" t="s">
        <v>779</v>
      </c>
      <c r="BD5" s="134" t="s">
        <v>805</v>
      </c>
      <c r="BE5" s="134" t="s">
        <v>806</v>
      </c>
      <c r="BF5" s="134" t="s">
        <v>767</v>
      </c>
      <c r="BG5" s="134" t="s">
        <v>1557</v>
      </c>
      <c r="BH5" s="134" t="s">
        <v>807</v>
      </c>
      <c r="BI5" s="134" t="s">
        <v>841</v>
      </c>
      <c r="BJ5" s="134" t="s">
        <v>802</v>
      </c>
      <c r="BK5" s="134" t="s">
        <v>828</v>
      </c>
      <c r="BL5" s="134" t="s">
        <v>1465</v>
      </c>
      <c r="BM5" s="142" t="s">
        <v>1551</v>
      </c>
      <c r="BN5" s="142" t="s">
        <v>799</v>
      </c>
      <c r="BO5" s="142" t="s">
        <v>1461</v>
      </c>
      <c r="BP5" s="142" t="s">
        <v>1506</v>
      </c>
      <c r="BQ5" s="142" t="s">
        <v>1473</v>
      </c>
      <c r="BR5" s="146" t="s">
        <v>732</v>
      </c>
      <c r="BS5" s="146" t="s">
        <v>669</v>
      </c>
      <c r="BT5" s="146" t="s">
        <v>658</v>
      </c>
      <c r="BU5" s="146" t="s">
        <v>654</v>
      </c>
      <c r="BV5" s="146" t="s">
        <v>664</v>
      </c>
      <c r="BW5" s="146" t="s">
        <v>607</v>
      </c>
      <c r="BX5" s="146" t="s">
        <v>737</v>
      </c>
      <c r="BY5" s="146" t="s">
        <v>655</v>
      </c>
      <c r="BZ5" s="146" t="s">
        <v>638</v>
      </c>
      <c r="CA5" s="146" t="s">
        <v>635</v>
      </c>
      <c r="CB5" s="146" t="s">
        <v>738</v>
      </c>
      <c r="CC5" s="146" t="s">
        <v>759</v>
      </c>
      <c r="CD5" s="146" t="s">
        <v>629</v>
      </c>
      <c r="CE5" s="146" t="s">
        <v>744</v>
      </c>
      <c r="CF5" s="146" t="s">
        <v>622</v>
      </c>
      <c r="CG5" s="146" t="s">
        <v>746</v>
      </c>
      <c r="CH5" s="146" t="s">
        <v>642</v>
      </c>
      <c r="CI5" s="146" t="s">
        <v>662</v>
      </c>
      <c r="CJ5" s="146" t="s">
        <v>762</v>
      </c>
      <c r="CK5" s="146" t="s">
        <v>754</v>
      </c>
      <c r="CL5" s="146" t="s">
        <v>764</v>
      </c>
      <c r="CM5" s="146" t="s">
        <v>757</v>
      </c>
      <c r="CN5" s="146" t="s">
        <v>667</v>
      </c>
      <c r="CO5" s="146" t="s">
        <v>626</v>
      </c>
      <c r="CP5" s="146" t="s">
        <v>752</v>
      </c>
    </row>
    <row r="6" spans="1:94">
      <c r="D6" s="110" t="s">
        <v>1566</v>
      </c>
      <c r="E6" s="110" t="s">
        <v>97</v>
      </c>
      <c r="F6" s="114" t="s">
        <v>1567</v>
      </c>
      <c r="G6" s="114" t="s">
        <v>99</v>
      </c>
      <c r="H6" s="114" t="s">
        <v>1568</v>
      </c>
      <c r="I6" s="114" t="s">
        <v>1569</v>
      </c>
      <c r="J6" s="114" t="s">
        <v>1570</v>
      </c>
      <c r="K6" s="114" t="s">
        <v>101</v>
      </c>
      <c r="L6" s="114" t="s">
        <v>230</v>
      </c>
      <c r="M6" s="121" t="s">
        <v>1571</v>
      </c>
      <c r="N6" s="124" t="s">
        <v>102</v>
      </c>
      <c r="O6" s="124" t="s">
        <v>103</v>
      </c>
      <c r="P6" s="124" t="s">
        <v>104</v>
      </c>
      <c r="Q6" s="128" t="s">
        <v>1573</v>
      </c>
      <c r="R6" s="128" t="s">
        <v>1574</v>
      </c>
      <c r="S6" s="128" t="s">
        <v>1574</v>
      </c>
      <c r="T6" s="128" t="s">
        <v>1574</v>
      </c>
      <c r="U6" s="128" t="s">
        <v>1575</v>
      </c>
      <c r="V6" s="128" t="s">
        <v>124</v>
      </c>
      <c r="W6" s="128" t="s">
        <v>126</v>
      </c>
      <c r="X6" s="128" t="s">
        <v>1576</v>
      </c>
      <c r="Y6" s="128" t="s">
        <v>1577</v>
      </c>
      <c r="Z6" s="128" t="s">
        <v>109</v>
      </c>
      <c r="AA6" s="128" t="s">
        <v>1578</v>
      </c>
      <c r="AB6" s="128" t="s">
        <v>1579</v>
      </c>
      <c r="AC6" s="133" t="s">
        <v>1581</v>
      </c>
      <c r="AD6" s="133" t="s">
        <v>112</v>
      </c>
      <c r="AE6" s="133" t="s">
        <v>112</v>
      </c>
      <c r="AF6" s="133" t="s">
        <v>114</v>
      </c>
      <c r="AG6" s="133" t="s">
        <v>115</v>
      </c>
      <c r="AH6" s="133" t="s">
        <v>116</v>
      </c>
      <c r="AI6" s="133" t="s">
        <v>117</v>
      </c>
      <c r="AJ6" s="133" t="s">
        <v>118</v>
      </c>
      <c r="AK6" s="133" t="s">
        <v>119</v>
      </c>
      <c r="AL6" s="133" t="s">
        <v>120</v>
      </c>
      <c r="AM6" s="133" t="s">
        <v>121</v>
      </c>
      <c r="AN6" s="133" t="s">
        <v>1583</v>
      </c>
      <c r="AO6" s="133" t="s">
        <v>1584</v>
      </c>
      <c r="AP6" s="133" t="s">
        <v>1585</v>
      </c>
      <c r="AQ6" s="133" t="s">
        <v>1586</v>
      </c>
      <c r="AR6" s="133" t="s">
        <v>249</v>
      </c>
      <c r="AS6" s="133" t="s">
        <v>250</v>
      </c>
      <c r="AT6" s="133" t="s">
        <v>123</v>
      </c>
      <c r="AU6" s="133" t="s">
        <v>1587</v>
      </c>
      <c r="AV6" s="133" t="s">
        <v>261</v>
      </c>
      <c r="AW6" s="133" t="s">
        <v>262</v>
      </c>
      <c r="AX6" s="133" t="s">
        <v>125</v>
      </c>
      <c r="AY6" s="133" t="s">
        <v>127</v>
      </c>
      <c r="AZ6" s="133" t="s">
        <v>128</v>
      </c>
      <c r="BA6" s="133" t="s">
        <v>1589</v>
      </c>
      <c r="BB6" s="133" t="s">
        <v>1590</v>
      </c>
      <c r="BC6" s="133" t="s">
        <v>1591</v>
      </c>
      <c r="BD6" s="133" t="s">
        <v>1592</v>
      </c>
      <c r="BE6" s="133" t="s">
        <v>1593</v>
      </c>
      <c r="BF6" s="133" t="s">
        <v>1594</v>
      </c>
      <c r="BG6" s="133" t="s">
        <v>1595</v>
      </c>
      <c r="BH6" s="133" t="s">
        <v>1596</v>
      </c>
      <c r="BI6" s="133" t="s">
        <v>132</v>
      </c>
      <c r="BJ6" s="133" t="s">
        <v>133</v>
      </c>
      <c r="BK6" s="133" t="s">
        <v>134</v>
      </c>
      <c r="BL6" s="133" t="s">
        <v>135</v>
      </c>
      <c r="BM6" s="141" t="s">
        <v>136</v>
      </c>
      <c r="BN6" s="141" t="s">
        <v>137</v>
      </c>
      <c r="BO6" s="141" t="s">
        <v>138</v>
      </c>
      <c r="BP6" s="141" t="s">
        <v>139</v>
      </c>
      <c r="BQ6" s="141" t="s">
        <v>140</v>
      </c>
      <c r="BR6" s="145" t="s">
        <v>1597</v>
      </c>
      <c r="BS6" s="145" t="s">
        <v>1598</v>
      </c>
      <c r="BT6" s="145" t="s">
        <v>1599</v>
      </c>
      <c r="BU6" s="145" t="s">
        <v>1600</v>
      </c>
      <c r="BV6" s="145" t="s">
        <v>145</v>
      </c>
      <c r="BW6" s="145" t="s">
        <v>146</v>
      </c>
      <c r="BX6" s="145" t="s">
        <v>147</v>
      </c>
      <c r="BY6" s="145" t="s">
        <v>148</v>
      </c>
      <c r="BZ6" s="145" t="s">
        <v>149</v>
      </c>
      <c r="CA6" s="145" t="s">
        <v>150</v>
      </c>
      <c r="CB6" s="145" t="s">
        <v>151</v>
      </c>
      <c r="CC6" s="145" t="s">
        <v>152</v>
      </c>
      <c r="CD6" s="145" t="s">
        <v>153</v>
      </c>
      <c r="CE6" s="145" t="s">
        <v>1601</v>
      </c>
      <c r="CF6" s="145" t="s">
        <v>1602</v>
      </c>
      <c r="CG6" s="145" t="s">
        <v>156</v>
      </c>
      <c r="CH6" s="145" t="s">
        <v>157</v>
      </c>
      <c r="CI6" s="145" t="s">
        <v>158</v>
      </c>
      <c r="CJ6" s="145" t="s">
        <v>278</v>
      </c>
      <c r="CK6" s="145" t="s">
        <v>279</v>
      </c>
      <c r="CL6" s="145" t="s">
        <v>280</v>
      </c>
      <c r="CM6" s="145" t="s">
        <v>1604</v>
      </c>
      <c r="CN6" s="145" t="s">
        <v>1605</v>
      </c>
      <c r="CO6" s="145" t="s">
        <v>1606</v>
      </c>
      <c r="CP6" s="145" t="s">
        <v>1607</v>
      </c>
    </row>
  </sheetData>
  <mergeCells count="20">
    <mergeCell ref="CE3:CF3"/>
    <mergeCell ref="CJ3:CL3"/>
    <mergeCell ref="CM3:CP3"/>
    <mergeCell ref="BR2:CP2"/>
    <mergeCell ref="AL3:AM3"/>
    <mergeCell ref="AC2:BL2"/>
    <mergeCell ref="BP3:BQ3"/>
    <mergeCell ref="BM2:BQ2"/>
    <mergeCell ref="BR3:BT3"/>
    <mergeCell ref="AA3:AB3"/>
    <mergeCell ref="Q2:AB2"/>
    <mergeCell ref="AF3:AG3"/>
    <mergeCell ref="AH3:AI3"/>
    <mergeCell ref="AJ3:AK3"/>
    <mergeCell ref="D2:D4"/>
    <mergeCell ref="E2:E4"/>
    <mergeCell ref="F3:G3"/>
    <mergeCell ref="F2:L2"/>
    <mergeCell ref="N3:P3"/>
    <mergeCell ref="N2:P2"/>
  </mergeCells>
  <phoneticPr fontId="154" type="noConversion"/>
  <conditionalFormatting sqref="Q7:Q10000">
    <cfRule type="expression" dxfId="42" priority="1">
      <formula>IF($E7&lt;&gt;"",ISNA(MATCH(CONCATENATE(SUBSTITUTE($E7," ","_"),"_",$Q$5),INDIRECT(CONCATENATE(VLOOKUP($E7,INDIRECT("T_Meta_1"),2,FALSE),"[#Headers]")),0)))</formula>
    </cfRule>
  </conditionalFormatting>
  <conditionalFormatting sqref="R7:R10000">
    <cfRule type="expression" dxfId="41" priority="2">
      <formula>IF($E7&lt;&gt;"",ISNA(MATCH(CONCATENATE(SUBSTITUTE($E7," ","_"),"_",$R$5),INDIRECT(CONCATENATE(VLOOKUP($E7,INDIRECT("T_Meta_1"),2,FALSE),"[#Headers]")),0)))</formula>
    </cfRule>
  </conditionalFormatting>
  <conditionalFormatting sqref="S7:S10000">
    <cfRule type="expression" dxfId="40" priority="3">
      <formula>IF($E7&lt;&gt;"",ISNA(MATCH(CONCATENATE(SUBSTITUTE($E7," ","_"),"_",$S$5),INDIRECT(CONCATENATE(VLOOKUP($E7,INDIRECT("T_Meta_1"),2,FALSE),"[#Headers]")),0)))</formula>
    </cfRule>
  </conditionalFormatting>
  <conditionalFormatting sqref="T7:T10000">
    <cfRule type="expression" dxfId="39" priority="4">
      <formula>IF($E7&lt;&gt;"",ISNA(MATCH(CONCATENATE(SUBSTITUTE($E7," ","_"),"_",$T$5),INDIRECT(CONCATENATE(VLOOKUP($E7,INDIRECT("T_Meta_1"),2,FALSE),"[#Headers]")),0)))</formula>
    </cfRule>
  </conditionalFormatting>
  <conditionalFormatting sqref="U7:U10000">
    <cfRule type="expression" dxfId="38" priority="5">
      <formula>IF($E7&lt;&gt;"",ISNA(MATCH(CONCATENATE(SUBSTITUTE($E7," ","_"),"_",$U$5),INDIRECT(CONCATENATE(VLOOKUP($E7,INDIRECT("T_Meta_1"),2,FALSE),"[#Headers]")),0)))</formula>
    </cfRule>
  </conditionalFormatting>
  <conditionalFormatting sqref="V7:V10000">
    <cfRule type="expression" dxfId="37" priority="6">
      <formula>IF($E7&lt;&gt;"",ISNA(MATCH(CONCATENATE(SUBSTITUTE($E7," ","_"),"_",$V$5),INDIRECT(CONCATENATE(VLOOKUP($E7,INDIRECT("T_Meta_1"),2,FALSE),"[#Headers]")),0)))</formula>
    </cfRule>
  </conditionalFormatting>
  <conditionalFormatting sqref="W7:W10000">
    <cfRule type="expression" dxfId="36" priority="7">
      <formula>IF($E7&lt;&gt;"",ISNA(MATCH(CONCATENATE(SUBSTITUTE($E7," ","_"),"_",$W$5),INDIRECT(CONCATENATE(VLOOKUP($E7,INDIRECT("T_Meta_1"),2,FALSE),"[#Headers]")),0)))</formula>
    </cfRule>
  </conditionalFormatting>
  <conditionalFormatting sqref="X7:X10000">
    <cfRule type="expression" dxfId="35" priority="8">
      <formula>IF($E7&lt;&gt;"",ISNA(MATCH(CONCATENATE(SUBSTITUTE($E7," ","_"),"_",$X$5),INDIRECT(CONCATENATE(VLOOKUP($E7,INDIRECT("T_Meta_1"),2,FALSE),"[#Headers]")),0)))</formula>
    </cfRule>
  </conditionalFormatting>
  <conditionalFormatting sqref="Y7:Y10000">
    <cfRule type="expression" dxfId="34" priority="9">
      <formula>IF($E7&lt;&gt;"",ISNA(MATCH(CONCATENATE(SUBSTITUTE($E7," ","_"),"_",$Y$5),INDIRECT(CONCATENATE(VLOOKUP($E7,INDIRECT("T_Meta_1"),2,FALSE),"[#Headers]")),0)))</formula>
    </cfRule>
  </conditionalFormatting>
  <conditionalFormatting sqref="Z7:Z10000">
    <cfRule type="expression" dxfId="33" priority="10">
      <formula>IF($E7&lt;&gt;"",ISNA(MATCH(CONCATENATE(SUBSTITUTE($E7," ","_"),"_",$Z$5),INDIRECT(CONCATENATE(VLOOKUP($E7,INDIRECT("T_Meta_1"),2,FALSE),"[#Headers]")),0)))</formula>
    </cfRule>
  </conditionalFormatting>
  <conditionalFormatting sqref="AA7:AB10000">
    <cfRule type="expression" dxfId="32" priority="11">
      <formula>IF($E7&lt;&gt;"",ISNA(MATCH(CONCATENATE(SUBSTITUTE($E7," ","_"),"_","netContent"),INDIRECT(CONCATENATE(VLOOKUP($E7,INDIRECT("T_Meta_1"),2,FALSE),"[#Headers]")),0)))</formula>
    </cfRule>
  </conditionalFormatting>
  <conditionalFormatting sqref="AC7:AC10000">
    <cfRule type="expression" dxfId="31" priority="13">
      <formula>IF($E7&lt;&gt;"",ISNA(MATCH(CONCATENATE(SUBSTITUTE($E7," ","_"),"_",$AC$5),INDIRECT(CONCATENATE(VLOOKUP($E7,INDIRECT("T_Meta_1"),2,FALSE),"[#Headers]")),0)))</formula>
    </cfRule>
  </conditionalFormatting>
  <conditionalFormatting sqref="AD7:AD10000">
    <cfRule type="expression" dxfId="30" priority="14">
      <formula>IF($E7&lt;&gt;"",ISNA(MATCH(CONCATENATE(SUBSTITUTE($E7," ","_"),"_",$AD$5),INDIRECT(CONCATENATE(VLOOKUP($E7,INDIRECT("T_Meta_1"),2,FALSE),"[#Headers]")),0)))</formula>
    </cfRule>
  </conditionalFormatting>
  <conditionalFormatting sqref="AE7:AE10000">
    <cfRule type="expression" dxfId="29" priority="15">
      <formula>IF($E7&lt;&gt;"",ISNA(MATCH(CONCATENATE(SUBSTITUTE($E7," ","_"),"_",$AE$5),INDIRECT(CONCATENATE(VLOOKUP($E7,INDIRECT("T_Meta_1"),2,FALSE),"[#Headers]")),0)))</formula>
    </cfRule>
  </conditionalFormatting>
  <conditionalFormatting sqref="AF7:AG10000">
    <cfRule type="expression" dxfId="28" priority="16">
      <formula>IF($E7&lt;&gt;"",ISNA(MATCH(CONCATENATE(SUBSTITUTE($E7," ","_"),"_","assembledProductLength"),INDIRECT(CONCATENATE(VLOOKUP($E7,INDIRECT("T_Meta_1"),2,FALSE),"[#Headers]")),0)))</formula>
    </cfRule>
  </conditionalFormatting>
  <conditionalFormatting sqref="AH7:AI10000">
    <cfRule type="expression" dxfId="27" priority="18">
      <formula>IF($E7&lt;&gt;"",ISNA(MATCH(CONCATENATE(SUBSTITUTE($E7," ","_"),"_","assembledProductHeight"),INDIRECT(CONCATENATE(VLOOKUP($E7,INDIRECT("T_Meta_1"),2,FALSE),"[#Headers]")),0)))</formula>
    </cfRule>
  </conditionalFormatting>
  <conditionalFormatting sqref="AJ7:AK10000">
    <cfRule type="expression" dxfId="26" priority="20">
      <formula>IF($E7&lt;&gt;"",ISNA(MATCH(CONCATENATE(SUBSTITUTE($E7," ","_"),"_","assembledProductWeight"),INDIRECT(CONCATENATE(VLOOKUP($E7,INDIRECT("T_Meta_1"),2,FALSE),"[#Headers]")),0)))</formula>
    </cfRule>
  </conditionalFormatting>
  <conditionalFormatting sqref="AL7:AM10000">
    <cfRule type="expression" dxfId="25" priority="22">
      <formula>IF($E7&lt;&gt;"",ISNA(MATCH(CONCATENATE(SUBSTITUTE($E7," ","_"),"_","assembledProductWidth"),INDIRECT(CONCATENATE(VLOOKUP($E7,INDIRECT("T_Meta_1"),2,FALSE),"[#Headers]")),0)))</formula>
    </cfRule>
  </conditionalFormatting>
  <conditionalFormatting sqref="AN7:AN10000">
    <cfRule type="expression" dxfId="24" priority="24">
      <formula>IF($E7&lt;&gt;"",ISNA(MATCH(CONCATENATE(SUBSTITUTE($E7," ","_"),"_",$AN$5),INDIRECT(CONCATENATE(VLOOKUP($E7,INDIRECT("T_Meta_1"),2,FALSE),"[#Headers]")),0)))</formula>
    </cfRule>
  </conditionalFormatting>
  <conditionalFormatting sqref="AO7:AO10000">
    <cfRule type="expression" dxfId="23" priority="25">
      <formula>IF($E7&lt;&gt;"",ISNA(MATCH(CONCATENATE(SUBSTITUTE($E7," ","_"),"_",$AO$5),INDIRECT(CONCATENATE(VLOOKUP($E7,INDIRECT("T_Meta_1"),2,FALSE),"[#Headers]")),0)))</formula>
    </cfRule>
  </conditionalFormatting>
  <conditionalFormatting sqref="AP7:AP10000">
    <cfRule type="expression" dxfId="22" priority="26">
      <formula>IF($E7&lt;&gt;"",ISNA(MATCH(CONCATENATE(SUBSTITUTE($E7," ","_"),"_",$AP$5),INDIRECT(CONCATENATE(VLOOKUP($E7,INDIRECT("T_Meta_1"),2,FALSE),"[#Headers]")),0)))</formula>
    </cfRule>
  </conditionalFormatting>
  <conditionalFormatting sqref="AQ7:AQ10000">
    <cfRule type="expression" dxfId="21" priority="27">
      <formula>IF($E7&lt;&gt;"",ISNA(MATCH(CONCATENATE(SUBSTITUTE($E7," ","_"),"_",$AQ$5),INDIRECT(CONCATENATE(VLOOKUP($E7,INDIRECT("T_Meta_1"),2,FALSE),"[#Headers]")),0)))</formula>
    </cfRule>
  </conditionalFormatting>
  <conditionalFormatting sqref="AR7:AR10000">
    <cfRule type="expression" dxfId="20" priority="28">
      <formula>IF($E7&lt;&gt;"",ISNA(MATCH(CONCATENATE(SUBSTITUTE($E7," ","_"),"_",$AR$5),INDIRECT(CONCATENATE(VLOOKUP($E7,INDIRECT("T_Meta_1"),2,FALSE),"[#Headers]")),0)))</formula>
    </cfRule>
  </conditionalFormatting>
  <conditionalFormatting sqref="AS7:AS10000">
    <cfRule type="expression" dxfId="19" priority="29">
      <formula>IF($E7&lt;&gt;"",ISNA(MATCH(CONCATENATE(SUBSTITUTE($E7," ","_"),"_",$AS$5),INDIRECT(CONCATENATE(VLOOKUP($E7,INDIRECT("T_Meta_1"),2,FALSE),"[#Headers]")),0)))</formula>
    </cfRule>
  </conditionalFormatting>
  <conditionalFormatting sqref="AT7:AT10000">
    <cfRule type="expression" dxfId="18" priority="30">
      <formula>IF($E7&lt;&gt;"",ISNA(MATCH(CONCATENATE(SUBSTITUTE($E7," ","_"),"_",$AT$5),INDIRECT(CONCATENATE(VLOOKUP($E7,INDIRECT("T_Meta_1"),2,FALSE),"[#Headers]")),0)))</formula>
    </cfRule>
  </conditionalFormatting>
  <conditionalFormatting sqref="AU7:AU10000">
    <cfRule type="expression" dxfId="17" priority="31">
      <formula>IF($E7&lt;&gt;"",ISNA(MATCH(CONCATENATE(SUBSTITUTE($E7," ","_"),"_",$AU$5),INDIRECT(CONCATENATE(VLOOKUP($E7,INDIRECT("T_Meta_1"),2,FALSE),"[#Headers]")),0)))</formula>
    </cfRule>
  </conditionalFormatting>
  <conditionalFormatting sqref="AV7:AV10000">
    <cfRule type="expression" dxfId="16" priority="32">
      <formula>IF($E7&lt;&gt;"",ISNA(MATCH(CONCATENATE(SUBSTITUTE($E7," ","_"),"_",$AV$5),INDIRECT(CONCATENATE(VLOOKUP($E7,INDIRECT("T_Meta_1"),2,FALSE),"[#Headers]")),0)))</formula>
    </cfRule>
  </conditionalFormatting>
  <conditionalFormatting sqref="AW7:AW10000">
    <cfRule type="expression" dxfId="15" priority="33">
      <formula>IF($E7&lt;&gt;"",ISNA(MATCH(CONCATENATE(SUBSTITUTE($E7," ","_"),"_",$AW$5),INDIRECT(CONCATENATE(VLOOKUP($E7,INDIRECT("T_Meta_1"),2,FALSE),"[#Headers]")),0)))</formula>
    </cfRule>
  </conditionalFormatting>
  <conditionalFormatting sqref="AX7:AX10000">
    <cfRule type="expression" dxfId="14" priority="34">
      <formula>IF($E7&lt;&gt;"",ISNA(MATCH(CONCATENATE(SUBSTITUTE($E7," ","_"),"_",$AX$5),INDIRECT(CONCATENATE(VLOOKUP($E7,INDIRECT("T_Meta_1"),2,FALSE),"[#Headers]")),0)))</formula>
    </cfRule>
  </conditionalFormatting>
  <conditionalFormatting sqref="AY7:AY10000">
    <cfRule type="expression" dxfId="13" priority="35">
      <formula>IF($E7&lt;&gt;"",ISNA(MATCH(CONCATENATE(SUBSTITUTE($E7," ","_"),"_",$AY$5),INDIRECT(CONCATENATE(VLOOKUP($E7,INDIRECT("T_Meta_1"),2,FALSE),"[#Headers]")),0)))</formula>
    </cfRule>
  </conditionalFormatting>
  <conditionalFormatting sqref="AZ7:AZ10000">
    <cfRule type="expression" dxfId="12" priority="36">
      <formula>IF($E7&lt;&gt;"",ISNA(MATCH(CONCATENATE(SUBSTITUTE($E7," ","_"),"_",$AZ$5),INDIRECT(CONCATENATE(VLOOKUP($E7,INDIRECT("T_Meta_1"),2,FALSE),"[#Headers]")),0)))</formula>
    </cfRule>
  </conditionalFormatting>
  <conditionalFormatting sqref="BA7:BA10000">
    <cfRule type="expression" dxfId="11" priority="37">
      <formula>IF($E7&lt;&gt;"",ISNA(MATCH(CONCATENATE(SUBSTITUTE($E7," ","_"),"_",$BA$5),INDIRECT(CONCATENATE(VLOOKUP($E7,INDIRECT("T_Meta_1"),2,FALSE),"[#Headers]")),0)))</formula>
    </cfRule>
  </conditionalFormatting>
  <conditionalFormatting sqref="BB7:BB10000">
    <cfRule type="expression" dxfId="10" priority="38">
      <formula>IF($E7&lt;&gt;"",ISNA(MATCH(CONCATENATE(SUBSTITUTE($E7," ","_"),"_",$BB$5),INDIRECT(CONCATENATE(VLOOKUP($E7,INDIRECT("T_Meta_1"),2,FALSE),"[#Headers]")),0)))</formula>
    </cfRule>
  </conditionalFormatting>
  <conditionalFormatting sqref="BC7:BC10000">
    <cfRule type="expression" dxfId="9" priority="39">
      <formula>IF($E7&lt;&gt;"",ISNA(MATCH(CONCATENATE(SUBSTITUTE($E7," ","_"),"_",$BC$5),INDIRECT(CONCATENATE(VLOOKUP($E7,INDIRECT("T_Meta_1"),2,FALSE),"[#Headers]")),0)))</formula>
    </cfRule>
  </conditionalFormatting>
  <conditionalFormatting sqref="BD7:BD10000">
    <cfRule type="expression" dxfId="8" priority="40">
      <formula>IF($E7&lt;&gt;"",ISNA(MATCH(CONCATENATE(SUBSTITUTE($E7," ","_"),"_",$BD$5),INDIRECT(CONCATENATE(VLOOKUP($E7,INDIRECT("T_Meta_1"),2,FALSE),"[#Headers]")),0)))</formula>
    </cfRule>
  </conditionalFormatting>
  <conditionalFormatting sqref="BE7:BE10000">
    <cfRule type="expression" dxfId="7" priority="41">
      <formula>IF($E7&lt;&gt;"",ISNA(MATCH(CONCATENATE(SUBSTITUTE($E7," ","_"),"_",$BE$5),INDIRECT(CONCATENATE(VLOOKUP($E7,INDIRECT("T_Meta_1"),2,FALSE),"[#Headers]")),0)))</formula>
    </cfRule>
  </conditionalFormatting>
  <conditionalFormatting sqref="BF7:BF10000">
    <cfRule type="expression" dxfId="6" priority="42">
      <formula>IF($E7&lt;&gt;"",ISNA(MATCH(CONCATENATE(SUBSTITUTE($E7," ","_"),"_",$BF$5),INDIRECT(CONCATENATE(VLOOKUP($E7,INDIRECT("T_Meta_1"),2,FALSE),"[#Headers]")),0)))</formula>
    </cfRule>
  </conditionalFormatting>
  <conditionalFormatting sqref="BG7:BG10000">
    <cfRule type="expression" dxfId="5" priority="43">
      <formula>IF($E7&lt;&gt;"",ISNA(MATCH(CONCATENATE(SUBSTITUTE($E7," ","_"),"_",$BG$5),INDIRECT(CONCATENATE(VLOOKUP($E7,INDIRECT("T_Meta_1"),2,FALSE),"[#Headers]")),0)))</formula>
    </cfRule>
  </conditionalFormatting>
  <conditionalFormatting sqref="BH7:BH10000">
    <cfRule type="expression" dxfId="4" priority="44">
      <formula>IF($E7&lt;&gt;"",ISNA(MATCH(CONCATENATE(SUBSTITUTE($E7," ","_"),"_",$BH$5),INDIRECT(CONCATENATE(VLOOKUP($E7,INDIRECT("T_Meta_1"),2,FALSE),"[#Headers]")),0)))</formula>
    </cfRule>
  </conditionalFormatting>
  <conditionalFormatting sqref="BI7:BI10000">
    <cfRule type="expression" dxfId="3" priority="45">
      <formula>IF($E7&lt;&gt;"",ISNA(MATCH(CONCATENATE(SUBSTITUTE($E7," ","_"),"_",$BI$5),INDIRECT(CONCATENATE(VLOOKUP($E7,INDIRECT("T_Meta_1"),2,FALSE),"[#Headers]")),0)))</formula>
    </cfRule>
  </conditionalFormatting>
  <conditionalFormatting sqref="BJ7:BJ10000">
    <cfRule type="expression" dxfId="2" priority="46">
      <formula>IF($E7&lt;&gt;"",ISNA(MATCH(CONCATENATE(SUBSTITUTE($E7," ","_"),"_",$BJ$5),INDIRECT(CONCATENATE(VLOOKUP($E7,INDIRECT("T_Meta_1"),2,FALSE),"[#Headers]")),0)))</formula>
    </cfRule>
  </conditionalFormatting>
  <conditionalFormatting sqref="BK7:BK10000">
    <cfRule type="expression" dxfId="1" priority="47">
      <formula>IF($E7&lt;&gt;"",ISNA(MATCH(CONCATENATE(SUBSTITUTE($E7," ","_"),"_",$BK$5),INDIRECT(CONCATENATE(VLOOKUP($E7,INDIRECT("T_Meta_1"),2,FALSE),"[#Headers]")),0)))</formula>
    </cfRule>
  </conditionalFormatting>
  <conditionalFormatting sqref="BL7:BL10000">
    <cfRule type="expression" dxfId="0" priority="48">
      <formula>IF($E7&lt;&gt;"",ISNA(MATCH(CONCATENATE(SUBSTITUTE($E7," ","_"),"_",$BL$5),INDIRECT(CONCATENATE(VLOOKUP($E7,INDIRECT("T_Meta_1"),2,FALSE),"[#Headers]")),0)))</formula>
    </cfRule>
  </conditionalFormatting>
  <dataValidations count="30">
    <dataValidation type="list" allowBlank="1" showErrorMessage="1" errorTitle="Alert" error="Manual entries are not permitted for this attribute. Please select a value from the defined closed list options." sqref="E7:E10000" xr:uid="{00000000-0002-0000-0300-000000000000}">
      <formula1>PTs_LIST</formula1>
    </dataValidation>
    <dataValidation type="list" allowBlank="1" showErrorMessage="1" errorTitle="Alert" error="Manual entries are not permitted for this attribute. Please select a value from the defined closed list options." sqref="F7:F10000" xr:uid="{00000000-0002-0000-0300-000001000000}">
      <formula1>INDIRECT("productIdentifiers_productIdType")</formula1>
    </dataValidation>
    <dataValidation type="list" allowBlank="1" showErrorMessage="1" errorTitle="Alert" error="Manual entries are not permitted for this attribute. Please select a value from the defined closed list options." sqref="L7:L10000" xr:uid="{00000000-0002-0000-0300-000002000000}">
      <formula1>INDIRECT($L$5)</formula1>
    </dataValidation>
    <dataValidation type="list" allowBlank="1" showErrorMessage="1" errorTitle="Alert" error="Manual entries are not permitted for this attribute. Please select a value from the defined closed list options." sqref="M7:M10000" xr:uid="{00000000-0002-0000-0300-000003000000}">
      <formula1>INDIRECT(IF($E7&lt;&gt;"",SUBSTITUTE(SUBSTITUTE(SUBSTITUTE(SUBSTITUTE(SUBSTITUTE(SUBSTITUTE(SUBSTITUTE(SUBSTITUTE(SUBSTITUTE(SUBSTITUTE(CONCATENATE(IF(ISNUMBER(VALUE(LEFT($E7))),CONCATENATE("_",$E7),$E7),"_",$M$5)," ","_"),"&amp;",""),",",""),"-",""),"(",""),")",""),"°",""),"/",""),"\",""),"'",""),""))</formula1>
    </dataValidation>
    <dataValidation type="list" allowBlank="1" showErrorMessage="1" errorTitle="Alert" error="Manual entries are not permitted for this attribute. Please select a value from the defined closed list options." sqref="N7:N10000" xr:uid="{00000000-0002-0000-0300-000004000000}">
      <formula1>INDIRECT("inventory_fulfillmentCenterID")</formula1>
    </dataValidation>
    <dataValidation type="list" allowBlank="1" showErrorMessage="1" errorTitle="Alert" error="Manual entries are not permitted for this attribute. Please select a value from the defined closed list options." sqref="X7:X10000" xr:uid="{00000000-0002-0000-0300-00000500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Z7:Z10000" xr:uid="{00000000-0002-0000-0300-000006000000}">
      <formula1>INDIRECT(IF($E7&lt;&gt;"",SUBSTITUTE(SUBSTITUTE(SUBSTITUTE(SUBSTITUTE(SUBSTITUTE(SUBSTITUTE(SUBSTITUTE(SUBSTITUTE(SUBSTITUTE(SUBSTITUTE(CONCATENATE(IF(ISNUMBER(VALUE(LEFT($E7))),CONCATENATE("_",$E7),$E7),"_",$Z$5)," ","_"),"&amp;",""),",",""),"-",""),"(",""),")",""),"°",""),"/",""),"\",""),"'",""),""))</formula1>
    </dataValidation>
    <dataValidation type="list" allowBlank="1" showErrorMessage="1" errorTitle="Alert" error="Manual entries are not permitted for this attribute. Please select a value from the defined closed list options." sqref="AA7:AA10000" xr:uid="{00000000-0002-0000-0300-00000700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C7:AC10000" xr:uid="{00000000-0002-0000-0300-000008000000}">
      <formula1>INDIRECT(IF($E7&lt;&gt;"",SUBSTITUTE(SUBSTITUTE(SUBSTITUTE(SUBSTITUTE(SUBSTITUTE(SUBSTITUTE(SUBSTITUTE(SUBSTITUTE(SUBSTITUTE(SUBSTITUTE(CONCATENATE(IF(ISNUMBER(VALUE(LEFT($E7))),CONCATENATE("_",$E7),$E7),"_",$AC$5)," ","_"),"&amp;",""),",",""),"-",""),"(",""),")",""),"°",""),"/",""),"\",""),"'",""),""))</formula1>
    </dataValidation>
    <dataValidation type="list" allowBlank="1" showErrorMessage="1" errorTitle="Alert" error="Manual entries are not permitted for this attribute. Please select a value from the defined closed list options." sqref="AG7:AG10000" xr:uid="{00000000-0002-0000-0300-000009000000}">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I7:AI10000" xr:uid="{00000000-0002-0000-0300-00000A000000}">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AK7:AK10000" xr:uid="{00000000-0002-0000-0300-00000B00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M7:AM10000" xr:uid="{00000000-0002-0000-0300-00000C00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O7:AO10000" xr:uid="{00000000-0002-0000-0300-00000D000000}">
      <formula1>INDIRECT(IF($E7&lt;&gt;"",SUBSTITUTE(SUBSTITUTE(SUBSTITUTE(SUBSTITUTE(SUBSTITUTE(SUBSTITUTE(SUBSTITUTE(SUBSTITUTE(SUBSTITUTE(SUBSTITUTE(CONCATENATE(IF(ISNUMBER(VALUE(LEFT($E7))),CONCATENATE("_",$E7),$E7),"_",$AO$5)," ","_"),"&amp;",""),",",""),"-",""),"(",""),")",""),"°",""),"/",""),"\",""),"'",""),""))</formula1>
    </dataValidation>
    <dataValidation type="list" allowBlank="1" showErrorMessage="1" errorTitle="Alert" error="Manual entries are not permitted for this attribute. Please select a value from the defined closed list options." sqref="AT7:AT10000" xr:uid="{00000000-0002-0000-0300-00000E000000}">
      <formula1>INDIRECT(IF($E7&lt;&gt;"",SUBSTITUTE(SUBSTITUTE(SUBSTITUTE(SUBSTITUTE(SUBSTITUTE(SUBSTITUTE(SUBSTITUTE(SUBSTITUTE(SUBSTITUTE(SUBSTITUTE(CONCATENATE(IF(ISNUMBER(VALUE(LEFT($E7))),CONCATENATE("_",$E7),$E7),"_",$AT$5)," ","_"),"&amp;",""),",",""),"-",""),"(",""),")",""),"°",""),"/",""),"\",""),"'",""),""))</formula1>
    </dataValidation>
    <dataValidation type="list" allowBlank="1" showErrorMessage="1" errorTitle="Alert" error="Manual entries are not permitted for this attribute. Please select a value from the defined closed list options." sqref="BI7:BI10000" xr:uid="{00000000-0002-0000-0300-00000F000000}">
      <formula1>INDIRECT(IF($E7&lt;&gt;"",SUBSTITUTE(SUBSTITUTE(SUBSTITUTE(SUBSTITUTE(SUBSTITUTE(SUBSTITUTE(SUBSTITUTE(SUBSTITUTE(SUBSTITUTE(SUBSTITUTE(CONCATENATE(IF(ISNUMBER(VALUE(LEFT($E7))),CONCATENATE("_",$E7),$E7),"_",$BI$5)," ","_"),"&amp;",""),",",""),"-",""),"(",""),")",""),"°",""),"/",""),"\",""),"'",""),""))</formula1>
    </dataValidation>
    <dataValidation type="list" allowBlank="1" showErrorMessage="1" errorTitle="Alert" error="Manual entries are not permitted for this attribute. Please select a value from the defined closed list options." sqref="BN7:BN10000" xr:uid="{00000000-0002-0000-0300-000010000000}">
      <formula1>INDIRECT(IF($E7&lt;&gt;"",SUBSTITUTE(SUBSTITUTE(SUBSTITUTE(SUBSTITUTE(SUBSTITUTE(SUBSTITUTE(SUBSTITUTE(SUBSTITUTE(SUBSTITUTE(SUBSTITUTE(CONCATENATE(IF(ISNUMBER(VALUE(LEFT($E7))),CONCATENATE("_",$E7),$E7),"_",$BN$5)," ","_"),"&amp;",""),",",""),"-",""),"(",""),")",""),"°",""),"/",""),"\",""),"'",""),""))</formula1>
    </dataValidation>
    <dataValidation type="list" allowBlank="1" showErrorMessage="1" errorTitle="Alert" error="Manual entries are not permitted for this attribute. Please select a value from the defined closed list options." sqref="BO7:BO10000" xr:uid="{00000000-0002-0000-0300-000011000000}">
      <formula1>INDIRECT(IF($E7&lt;&gt;"",SUBSTITUTE(SUBSTITUTE(SUBSTITUTE(SUBSTITUTE(SUBSTITUTE(SUBSTITUTE(SUBSTITUTE(SUBSTITUTE(SUBSTITUTE(SUBSTITUTE(CONCATENATE(IF(ISNUMBER(VALUE(LEFT($E7))),CONCATENATE("_",$E7),$E7),"_",$BO$5)," ","_"),"&amp;",""),",",""),"-",""),"(",""),")",""),"°",""),"/",""),"\",""),"'",""),""))</formula1>
    </dataValidation>
    <dataValidation type="list" allowBlank="1" showErrorMessage="1" errorTitle="Alert" error="Manual entries are not permitted for this attribute. Please select a value from the defined closed list options." sqref="BP7:BP10000" xr:uid="{00000000-0002-0000-0300-00001200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BS7:BS10000" xr:uid="{00000000-0002-0000-0300-000013000000}">
      <formula1>INDIRECT("stateRestrictions_states")</formula1>
    </dataValidation>
    <dataValidation type="list" allowBlank="1" showErrorMessage="1" errorTitle="Alert" error="Manual entries are not permitted for this attribute. Please select a value from the defined closed list options." sqref="BT7:BT10000" xr:uid="{00000000-0002-0000-0300-000014000000}">
      <formula1>INDIRECT("stateRestrictions_stateRestrictionsText")</formula1>
    </dataValidation>
    <dataValidation type="list" allowBlank="1" showErrorMessage="1" errorTitle="Alert" error="Manual entries are not permitted for this attribute. Please select a value from the defined closed list options." sqref="BU7:BU10000" xr:uid="{00000000-0002-0000-0300-000015000000}">
      <formula1>INDIRECT($BU$5)</formula1>
    </dataValidation>
    <dataValidation type="list" allowBlank="1" showErrorMessage="1" errorTitle="Alert" error="Manual entries are not permitted for this attribute. Please select a value from the defined closed list options." sqref="BV7:BV10000" xr:uid="{00000000-0002-0000-0300-000016000000}">
      <formula1>INDIRECT($BV$5)</formula1>
    </dataValidation>
    <dataValidation type="list" allowBlank="1" showErrorMessage="1" errorTitle="Alert" error="Manual entries are not permitted for this attribute. Please select a value from the defined closed list options." sqref="BW7:BW10000" xr:uid="{00000000-0002-0000-0300-000017000000}">
      <formula1>INDIRECT($BW$5)</formula1>
    </dataValidation>
    <dataValidation type="list" allowBlank="1" showErrorMessage="1" errorTitle="Alert" error="Manual entries are not permitted for this attribute. Please select a value from the defined closed list options." sqref="BY7:BY10000" xr:uid="{00000000-0002-0000-0300-000018000000}">
      <formula1>INDIRECT($BY$5)</formula1>
    </dataValidation>
    <dataValidation type="list" allowBlank="1" showErrorMessage="1" errorTitle="Alert" error="Manual entries are not permitted for this attribute. Please select a value from the defined closed list options." sqref="BZ7:BZ10000" xr:uid="{00000000-0002-0000-0300-000019000000}">
      <formula1>INDIRECT($BZ$5)</formula1>
    </dataValidation>
    <dataValidation type="list" allowBlank="1" showErrorMessage="1" errorTitle="Alert" error="Manual entries are not permitted for this attribute. Please select a value from the defined closed list options." sqref="CA7:CA10000" xr:uid="{00000000-0002-0000-0300-00001A000000}">
      <formula1>INDIRECT($CA$5)</formula1>
    </dataValidation>
    <dataValidation type="list" allowBlank="1" showErrorMessage="1" errorTitle="Alert" error="Manual entries are not permitted for this attribute. Please select a value from the defined closed list options." sqref="CE7:CE10000" xr:uid="{00000000-0002-0000-0300-00001B00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G7:CG10000" xr:uid="{00000000-0002-0000-0300-00001C000000}">
      <formula1>INDIRECT($CG$5)</formula1>
    </dataValidation>
    <dataValidation type="list" allowBlank="1" showErrorMessage="1" errorTitle="Alert" error="Manual entries are not permitted for this attribute. Please select a value from the defined closed list options." sqref="CH7:CH10000" xr:uid="{00000000-0002-0000-0300-00001D000000}">
      <formula1>INDIRECT($CH$5)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Instructions and Examples</vt:lpstr>
      <vt:lpstr>Data Definitions</vt:lpstr>
      <vt:lpstr>Hidden_product_content_and_sit</vt:lpstr>
      <vt:lpstr>Product Content And Site Exp</vt:lpstr>
      <vt:lpstr>PTs_LIST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xmzj</cp:lastModifiedBy>
  <dcterms:created xsi:type="dcterms:W3CDTF">2025-10-10T20:21:08Z</dcterms:created>
  <dcterms:modified xsi:type="dcterms:W3CDTF">2026-09-10T06:30:50Z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